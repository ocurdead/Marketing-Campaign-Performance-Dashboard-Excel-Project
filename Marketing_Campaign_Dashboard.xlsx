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EDA_proj\"/>
    </mc:Choice>
  </mc:AlternateContent>
  <bookViews>
    <workbookView xWindow="0" yWindow="0" windowWidth="12495" windowHeight="6060"/>
  </bookViews>
  <sheets>
    <sheet name="new dashboard" sheetId="12" r:id="rId1"/>
    <sheet name="kpis" sheetId="14" r:id="rId2"/>
    <sheet name="sale trend" sheetId="15" r:id="rId3"/>
    <sheet name="p&amp;l of adgroup" sheetId="16" r:id="rId4"/>
    <sheet name="sale by adgroup" sheetId="17" r:id="rId5"/>
    <sheet name="Sheet5" sheetId="18" r:id="rId6"/>
    <sheet name="final_shop_6modata" sheetId="1" r:id="rId7"/>
  </sheets>
  <definedNames>
    <definedName name="Slicer_ad_group_simplified">#N/A</definedName>
    <definedName name="Slicer_Month">#N/A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R7" i="12" l="1"/>
  <c r="T7" i="12"/>
  <c r="R13" i="12"/>
  <c r="T13" i="12"/>
  <c r="R10" i="12"/>
  <c r="T10" i="12"/>
  <c r="M191" i="1" l="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<sst xmlns="http://schemas.openxmlformats.org/spreadsheetml/2006/main" count="440" uniqueCount="78">
  <si>
    <t>Ad Group</t>
  </si>
  <si>
    <t>Month</t>
  </si>
  <si>
    <t>Impressions</t>
  </si>
  <si>
    <t>Clicks</t>
  </si>
  <si>
    <t>CTR</t>
  </si>
  <si>
    <t>Conversions</t>
  </si>
  <si>
    <t>Conv Rate</t>
  </si>
  <si>
    <t>Cost</t>
  </si>
  <si>
    <t>CPC</t>
  </si>
  <si>
    <t>Revenue</t>
  </si>
  <si>
    <t>Sale Amount</t>
  </si>
  <si>
    <t>P&amp;L</t>
  </si>
  <si>
    <t>Shop - 1:1 - Desk - [shop coupon code]</t>
  </si>
  <si>
    <t>July</t>
  </si>
  <si>
    <t>Shop - 1:1 - Desk - [shop coupon]</t>
  </si>
  <si>
    <t>Shop - 1:1 - Desk - [shop discount code]</t>
  </si>
  <si>
    <t>Shop - 1:1 - Desk - [shop promo code]</t>
  </si>
  <si>
    <t>Shop - 1:1 - Desk - [shop promo]</t>
  </si>
  <si>
    <t>Shop - 1:1 - Mob - [shop coupon code]</t>
  </si>
  <si>
    <t>Shop - 1:1 - Mob - [shop coupon]</t>
  </si>
  <si>
    <t>Shop - 1:1 - Mob - [shop discount code]</t>
  </si>
  <si>
    <t>Shop - 1:1 - Mob - [shop promo code]</t>
  </si>
  <si>
    <t>Shop - 1:1 - Mob - [shop promo]</t>
  </si>
  <si>
    <t>Shop - Exact - Desk - Competitor</t>
  </si>
  <si>
    <t>Shop - Exact - Desk - Coupon Code</t>
  </si>
  <si>
    <t>Shop - Exact - Desk - Discount Code</t>
  </si>
  <si>
    <t>Shop - Exact - Desk - Free Shipping</t>
  </si>
  <si>
    <t>Shop - Exact - Desk - Offer</t>
  </si>
  <si>
    <t>Shop - Exact - Desk - Promo Code</t>
  </si>
  <si>
    <t>Shop - Exact - Desk - Sale</t>
  </si>
  <si>
    <t>Shop - Exact - Mob - Competitor</t>
  </si>
  <si>
    <t>Shop - Exact - Mob - Coupon Code</t>
  </si>
  <si>
    <t>Shop - Exact - Mob - Discount Code</t>
  </si>
  <si>
    <t>Shop - Exact - Mob - Free Shipping</t>
  </si>
  <si>
    <t>Shop - Exact - Mob - Offer</t>
  </si>
  <si>
    <t>Shop - Exact - Mob - Promo Code</t>
  </si>
  <si>
    <t>Shop - Exact - Mob - Sale</t>
  </si>
  <si>
    <t>Shop - Phrase - Desk - Competitor</t>
  </si>
  <si>
    <t>Shop - Phrase - Desk - Coupon Code</t>
  </si>
  <si>
    <t>Shop - Phrase - Desk - Discount Code</t>
  </si>
  <si>
    <t>Shop - Phrase - Desk - Free Shipping</t>
  </si>
  <si>
    <t>Shop - Phrase - Desk - Offer</t>
  </si>
  <si>
    <t>Shop - Phrase - Desk - Promo Code</t>
  </si>
  <si>
    <t>Shop - Phrase - Desk - Sale</t>
  </si>
  <si>
    <t>Shop - Phrase - Mob - Competitor</t>
  </si>
  <si>
    <t>Shop - Phrase - Mob - Coupon Code</t>
  </si>
  <si>
    <t>Shop - Phrase - Mob - Discount Code</t>
  </si>
  <si>
    <t>Shop - Phrase - Mob - Free Shipping</t>
  </si>
  <si>
    <t>Shop - Phrase - Mob - Offer</t>
  </si>
  <si>
    <t>Shop - Phrase - Mob - Promo Code</t>
  </si>
  <si>
    <t>Shop - Phrase - Mob - Sale</t>
  </si>
  <si>
    <t>August</t>
  </si>
  <si>
    <t>September</t>
  </si>
  <si>
    <t>October</t>
  </si>
  <si>
    <t>November</t>
  </si>
  <si>
    <t>Shop - Exact - Desk - Black Friday/Cyber Monday</t>
  </si>
  <si>
    <t>Shop - Exact - Mob - Black Friday/Cyber Monday</t>
  </si>
  <si>
    <t>Row Labels</t>
  </si>
  <si>
    <t>Grand Total</t>
  </si>
  <si>
    <t>Sum of Impressions</t>
  </si>
  <si>
    <t>Sum of Clicks</t>
  </si>
  <si>
    <t>Sum of Conversions</t>
  </si>
  <si>
    <t>Sum of P&amp;L</t>
  </si>
  <si>
    <t>ad group simplified</t>
  </si>
  <si>
    <t>1:1 Desk</t>
  </si>
  <si>
    <t>1:1 Mob</t>
  </si>
  <si>
    <t>Exact Desk</t>
  </si>
  <si>
    <t>Exact Mob</t>
  </si>
  <si>
    <t>Phrase Desk</t>
  </si>
  <si>
    <t>Phrase Mob</t>
  </si>
  <si>
    <t>Sum of Cost</t>
  </si>
  <si>
    <t>Sum of Sale Amount</t>
  </si>
  <si>
    <t>Total Sales</t>
  </si>
  <si>
    <t>Total Cost</t>
  </si>
  <si>
    <t>Net Profit or Loss</t>
  </si>
  <si>
    <t>ROAS</t>
  </si>
  <si>
    <t>Converstion Rate</t>
  </si>
  <si>
    <t>Cost per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</si>
</sst>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quot;$&quot;#,##0.00;[Red]&quot;$&quot;#,##0.00"/>
    <numFmt numFmtId="165" formatCode="&quot;$&quot;#,##0.00"/>
    <numFmt numFmtId="166" formatCode="&quot;$&quot;#,##0"/>
  </numFmts>
  <fonts count="20"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65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14"/>
      <color theme="1"/>
      <name val="Gill Sans MT"/>
      <family val="2"/>
      <scheme val="minor"/>
    </font>
    <font>
      <sz val="14"/>
      <color theme="0"/>
      <name val="Gill Sans MT"/>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5" tint="-0.249977111117893"/>
        <bgColor indexed="64"/>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0" borderId="10" xfId="0" applyBorder="1"/>
    <xf numFmtId="3" fontId="0" fillId="0" borderId="10" xfId="0" applyNumberFormat="1" applyBorder="1" applyAlignment="1">
      <alignment horizontal="center"/>
    </xf>
    <xf numFmtId="44" fontId="0" fillId="0" borderId="10" xfId="0" applyNumberFormat="1" applyBorder="1" applyAlignment="1">
      <alignment horizontal="center"/>
    </xf>
    <xf numFmtId="165" fontId="0" fillId="0" borderId="10" xfId="0" applyNumberFormat="1" applyBorder="1" applyAlignment="1">
      <alignment horizontal="center"/>
    </xf>
    <xf numFmtId="164" fontId="0" fillId="0" borderId="10" xfId="0" applyNumberFormat="1" applyBorder="1" applyAlignment="1">
      <alignment horizontal="center"/>
    </xf>
    <xf numFmtId="0" fontId="0" fillId="33" borderId="0" xfId="0" applyFill="1" applyAlignment="1">
      <alignment horizontal="center"/>
    </xf>
    <xf numFmtId="0" fontId="18" fillId="33" borderId="0" xfId="0" applyFont="1" applyFill="1"/>
    <xf numFmtId="0" fontId="19" fillId="34" borderId="10" xfId="0" applyFont="1" applyFill="1" applyBorder="1" applyAlignment="1">
      <alignment horizontal="center"/>
    </xf>
    <xf numFmtId="165" fontId="18" fillId="35" borderId="10" xfId="0" applyNumberFormat="1" applyFont="1" applyFill="1" applyBorder="1" applyAlignment="1">
      <alignment horizontal="center"/>
    </xf>
    <xf numFmtId="166" fontId="18" fillId="35" borderId="10" xfId="0" applyNumberFormat="1" applyFont="1" applyFill="1" applyBorder="1" applyAlignment="1">
      <alignment horizontal="center"/>
    </xf>
    <xf numFmtId="10" fontId="18" fillId="35" borderId="10" xfId="0" applyNumberFormat="1" applyFont="1" applyFill="1" applyBorder="1" applyAlignment="1">
      <alignment horizontal="center"/>
    </xf>
    <xf numFmtId="2" fontId="18" fillId="35" borderId="10" xfId="0" applyNumberFormat="1" applyFont="1" applyFill="1" applyBorder="1" applyAlignment="1">
      <alignment horizontal="center"/>
    </xf>
    <xf numFmtId="164" fontId="18" fillId="35" borderId="10" xfId="0" applyNumberFormat="1" applyFont="1" applyFill="1" applyBorder="1" applyAlignment="1">
      <alignment horizontal="center"/>
    </xf>
    <xf numFmtId="4" fontId="18" fillId="35" borderId="10"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horizontal="center" readingOrder="0"/>
    </dxf>
    <dxf>
      <numFmt numFmtId="3" formatCode="#,##0"/>
    </dxf>
    <dxf>
      <numFmt numFmtId="3" formatCode="#,##0"/>
    </dxf>
    <dxf>
      <numFmt numFmtId="3" formatCode="#,##0"/>
    </dxf>
    <dxf>
      <numFmt numFmtId="34" formatCode="_(&quot;$&quot;* #,##0.00_);_(&quot;$&quot;* \(#,##0.00\);_(&quot;$&quot;* &quot;-&quot;??_);_(@_)"/>
    </dxf>
    <dxf>
      <numFmt numFmtId="165" formatCode="&quot;$&quot;#,##0.00"/>
    </dxf>
    <dxf>
      <fill>
        <patternFill>
          <bgColor theme="5" tint="0.59996337778862885"/>
        </patternFill>
      </fill>
    </dxf>
    <dxf>
      <fill>
        <patternFill>
          <bgColor theme="5" tint="0.79998168889431442"/>
        </patternFill>
      </fill>
    </dxf>
    <dxf>
      <font>
        <name val="Gill Sans MT"/>
        <scheme val="minor"/>
      </font>
      <fill>
        <patternFill>
          <bgColor theme="3" tint="0.79998168889431442"/>
        </patternFill>
      </fill>
    </dxf>
  </dxfs>
  <tableStyles count="3" defaultTableStyle="TableStyleMedium2" defaultPivotStyle="PivotStyleLight16">
    <tableStyle name="Orange" pivot="0" table="0" count="1">
      <tableStyleElement type="wholeTable" dxfId="15"/>
    </tableStyle>
    <tableStyle name="Slicer Style 1" pivot="0" table="0" count="1">
      <tableStyleElement type="headerRow" dxfId="14"/>
    </tableStyle>
    <tableStyle name="Slicer Style 2" pivot="0" table="0" count="1">
      <tableStyleElement type="wholeTable" dxfId="13"/>
    </tableStyle>
  </tableStyles>
  <extLst>
    <ext xmlns:x14="http://schemas.microsoft.com/office/spreadsheetml/2009/9/main" uri="{EB79DEF2-80B8-43e5-95BD-54CBDDF9020C}">
      <x14:slicerStyles defaultSlicerStyle="SlicerStyleLight1">
        <x14:slicerStyle name="Orang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sz="1600" b="0" i="0" u="none" strike="noStrike" cap="none" normalizeH="0" baseline="0">
                <a:solidFill>
                  <a:schemeClr val="tx1"/>
                </a:solidFill>
                <a:latin typeface="+mn-lt"/>
                <a:cs typeface="Times New Roman" panose="02020603050405020304" pitchFamily="18" charset="0"/>
              </a:rPr>
              <a:t>Revenue vs Cost by Ad Group</a:t>
            </a:r>
            <a:endParaRPr lang="en-US" b="0">
              <a:solidFill>
                <a:schemeClr val="tx1"/>
              </a:solidFill>
              <a:latin typeface="+mn-lt"/>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a:outerShdw blurRad="50800" dist="38100" dir="2700000" algn="tl" rotWithShape="0">
              <a:prstClr val="black">
                <a:alpha val="40000"/>
              </a:prstClr>
            </a:outerShdw>
          </a:effectLst>
        </c:spPr>
        <c:marker>
          <c:symbol val="none"/>
        </c:marker>
      </c:pivotFmt>
      <c:pivotFmt>
        <c:idx val="13"/>
        <c:spPr>
          <a:solidFill>
            <a:schemeClr val="accent1"/>
          </a:solidFill>
          <a:ln>
            <a:noFill/>
          </a:ln>
          <a:effectLst>
            <a:outerShdw blurRad="50800" dist="38100" dir="2700000" algn="tl" rotWithShape="0">
              <a:prstClr val="black">
                <a:alpha val="40000"/>
              </a:prstClr>
            </a:outerShdw>
          </a:effectLst>
        </c:spPr>
        <c:marker>
          <c:symbol val="none"/>
        </c:marker>
      </c:pivotFmt>
    </c:pivotFmts>
    <c:plotArea>
      <c:layout/>
      <c:barChart>
        <c:barDir val="col"/>
        <c:grouping val="clustered"/>
        <c:varyColors val="0"/>
        <c:dLbls>
          <c:showLegendKey val="0"/>
          <c:showVal val="0"/>
          <c:showCatName val="0"/>
          <c:showSerName val="0"/>
          <c:showPercent val="0"/>
          <c:showBubbleSize val="0"/>
        </c:dLbls>
        <c:gapWidth val="75"/>
        <c:overlap val="-25"/>
        <c:axId val="1985192031"/>
        <c:axId val="1985201183"/>
      </c:barChart>
      <c:catAx>
        <c:axId val="19851920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85201183"/>
        <c:crosses val="autoZero"/>
        <c:auto val="1"/>
        <c:lblAlgn val="ctr"/>
        <c:lblOffset val="100"/>
        <c:noMultiLvlLbl val="0"/>
      </c:catAx>
      <c:valAx>
        <c:axId val="1985201183"/>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98519203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a:outerShdw blurRad="50800" dist="38100" dir="2700000" algn="tl" rotWithShape="0">
              <a:prstClr val="black">
                <a:alpha val="40000"/>
              </a:prstClr>
            </a:outerShdw>
          </a:effectLst>
        </c:spPr>
        <c:marker>
          <c:symbol val="none"/>
        </c:marker>
      </c:pivotFmt>
    </c:pivotFmts>
    <c:plotArea>
      <c:layout>
        <c:manualLayout>
          <c:layoutTarget val="inner"/>
          <c:xMode val="edge"/>
          <c:yMode val="edge"/>
          <c:x val="0.16109552990131287"/>
          <c:y val="0.42266415737472524"/>
          <c:w val="0.68449874178098868"/>
          <c:h val="0.54350121329173473"/>
        </c:manualLayout>
      </c:layout>
      <c:barChart>
        <c:barDir val="col"/>
        <c:grouping val="clustered"/>
        <c:varyColors val="0"/>
        <c:dLbls>
          <c:showLegendKey val="0"/>
          <c:showVal val="0"/>
          <c:showCatName val="0"/>
          <c:showSerName val="0"/>
          <c:showPercent val="0"/>
          <c:showBubbleSize val="0"/>
        </c:dLbls>
        <c:gapWidth val="150"/>
        <c:axId val="1985194527"/>
        <c:axId val="1985196607"/>
      </c:barChart>
      <c:catAx>
        <c:axId val="1985194527"/>
        <c:scaling>
          <c:orientation val="minMax"/>
        </c:scaling>
        <c:delete val="1"/>
        <c:axPos val="b"/>
        <c:numFmt formatCode="General" sourceLinked="1"/>
        <c:majorTickMark val="none"/>
        <c:minorTickMark val="none"/>
        <c:tickLblPos val="high"/>
        <c:crossAx val="1985196607"/>
        <c:crosses val="autoZero"/>
        <c:auto val="1"/>
        <c:lblAlgn val="ctr"/>
        <c:lblOffset val="100"/>
        <c:noMultiLvlLbl val="0"/>
      </c:catAx>
      <c:valAx>
        <c:axId val="1985196607"/>
        <c:scaling>
          <c:orientation val="minMax"/>
        </c:scaling>
        <c:delete val="1"/>
        <c:axPos val="l"/>
        <c:numFmt formatCode="General" sourceLinked="1"/>
        <c:majorTickMark val="none"/>
        <c:minorTickMark val="none"/>
        <c:tickLblPos val="nextTo"/>
        <c:crossAx val="1985194527"/>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Impressions</a:t>
            </a:r>
          </a:p>
        </c:rich>
      </c:tx>
      <c:layout>
        <c:manualLayout>
          <c:xMode val="edge"/>
          <c:yMode val="edge"/>
          <c:x val="0.43252532395121701"/>
          <c:y val="4.3033531546779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dLbls>
          <c:showLegendKey val="0"/>
          <c:showVal val="0"/>
          <c:showCatName val="0"/>
          <c:showSerName val="0"/>
          <c:showPercent val="0"/>
          <c:showBubbleSize val="0"/>
        </c:dLbls>
        <c:gapWidth val="219"/>
        <c:overlap val="-27"/>
        <c:axId val="1828550127"/>
        <c:axId val="1828551791"/>
      </c:barChart>
      <c:catAx>
        <c:axId val="18285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8551791"/>
        <c:crosses val="autoZero"/>
        <c:auto val="1"/>
        <c:lblAlgn val="ctr"/>
        <c:lblOffset val="100"/>
        <c:noMultiLvlLbl val="0"/>
      </c:catAx>
      <c:valAx>
        <c:axId val="182855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550127"/>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ROI by Ad Group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s>
    <c:plotArea>
      <c:layout/>
      <c:lineChart>
        <c:grouping val="standard"/>
        <c:varyColors val="0"/>
        <c:dLbls>
          <c:showLegendKey val="0"/>
          <c:showVal val="0"/>
          <c:showCatName val="0"/>
          <c:showSerName val="0"/>
          <c:showPercent val="0"/>
          <c:showBubbleSize val="0"/>
        </c:dLbls>
        <c:marker val="1"/>
        <c:smooth val="0"/>
        <c:axId val="1396510767"/>
        <c:axId val="1396499535"/>
      </c:lineChart>
      <c:catAx>
        <c:axId val="13965107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6499535"/>
        <c:crosses val="autoZero"/>
        <c:auto val="1"/>
        <c:lblAlgn val="ctr"/>
        <c:lblOffset val="100"/>
        <c:noMultiLvlLbl val="0"/>
      </c:catAx>
      <c:valAx>
        <c:axId val="13964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65107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[final_analysis_campaign Copy.xlsx]sale trend!PivotTable2</c:name>
    <c:fmtId val="3"/>
  </c:pivotSource>
  <c:chart>
    <c:title>
      <c:tx>
        <c:rich>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r>
              <a:rPr lang="en-US" b="1" i="0">
                <a:solidFill>
                  <a:schemeClr val="accent1"/>
                </a:solidFill>
              </a:rPr>
              <a:t>Sales Trend by Month</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lumMod val="75000"/>
                <a:lumOff val="25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solidFill>
              <a:schemeClr val="accent1">
                <a:lumMod val="10000"/>
                <a:lumOff val="90000"/>
              </a:schemeClr>
            </a:soli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4"/>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lumMod val="75000"/>
                <a:lumOff val="25000"/>
              </a:schemeClr>
            </a:solidFill>
            <a:round/>
          </a:ln>
          <a:effectLst>
            <a:outerShdw blurRad="88900" dist="38100" dir="5040000" rotWithShape="0">
              <a:schemeClr val="accent1">
                <a:alpha val="60000"/>
              </a:schemeClr>
            </a:outerShdw>
          </a:effectLst>
          <a:scene3d>
            <a:camera prst="orthographicFront">
              <a:rot lat="0" lon="0" rev="0"/>
            </a:camera>
            <a:lightRig rig="threePt" dir="tl">
              <a:rot lat="0" lon="0" rev="1200000"/>
            </a:lightRig>
          </a:scene3d>
          <a:sp3d>
            <a:bevelT w="38100" h="50800"/>
          </a:sp3d>
        </c:spPr>
        <c:marker>
          <c:symbol val="none"/>
        </c:marker>
      </c:pivotFmt>
      <c:pivotFmt>
        <c:idx val="5"/>
        <c:spPr>
          <a:ln w="34925" cap="rnd">
            <a:solidFill>
              <a:schemeClr val="accent1"/>
            </a:solidFill>
            <a:round/>
          </a:ln>
          <a:effectLst>
            <a:outerShdw blurRad="88900" dist="38100" dir="5040000" rotWithShape="0">
              <a:srgbClr val="000000">
                <a:alpha val="60000"/>
              </a:srgbClr>
            </a:outerShdw>
          </a:effectLst>
        </c:spPr>
        <c:marker>
          <c:symbol val="none"/>
        </c:marker>
      </c:pivotFmt>
      <c:pivotFmt>
        <c:idx val="6"/>
        <c:spPr>
          <a:ln w="34925" cap="rnd">
            <a:solidFill>
              <a:schemeClr val="accent1"/>
            </a:solidFill>
            <a:round/>
          </a:ln>
          <a:effectLst>
            <a:outerShdw blurRad="88900" dist="38100" dir="5040000" rotWithShape="0">
              <a:srgbClr val="000000">
                <a:alpha val="60000"/>
              </a:srgbClr>
            </a:outerShdw>
          </a:effectLst>
        </c:spPr>
        <c:marker>
          <c:symbol val="none"/>
        </c:marker>
      </c:pivotFmt>
    </c:pivotFmts>
    <c:plotArea>
      <c:layout/>
      <c:lineChart>
        <c:grouping val="standard"/>
        <c:varyColors val="0"/>
        <c:ser>
          <c:idx val="0"/>
          <c:order val="0"/>
          <c:tx>
            <c:strRef>
              <c:f>'sale trend'!$B$3</c:f>
              <c:strCache>
                <c:ptCount val="1"/>
                <c:pt idx="0">
                  <c:v>Total</c:v>
                </c:pt>
              </c:strCache>
            </c:strRef>
          </c:tx>
          <c:spPr>
            <a:ln w="34925" cap="rnd">
              <a:solidFill>
                <a:schemeClr val="accent1"/>
              </a:solidFill>
              <a:round/>
            </a:ln>
            <a:effectLst>
              <a:outerShdw blurRad="88900" dist="38100" dir="5040000" rotWithShape="0">
                <a:srgbClr val="000000">
                  <a:alpha val="60000"/>
                </a:srgbClr>
              </a:outerShdw>
            </a:effectLst>
          </c:spPr>
          <c:marker>
            <c:symbol val="none"/>
          </c:marker>
          <c:cat>
            <c:strRef>
              <c:f>'sale trend'!$A$4:$A$9</c:f>
              <c:strCache>
                <c:ptCount val="5"/>
                <c:pt idx="0">
                  <c:v>July</c:v>
                </c:pt>
                <c:pt idx="1">
                  <c:v>August</c:v>
                </c:pt>
                <c:pt idx="2">
                  <c:v>September</c:v>
                </c:pt>
                <c:pt idx="3">
                  <c:v>October</c:v>
                </c:pt>
                <c:pt idx="4">
                  <c:v>November</c:v>
                </c:pt>
              </c:strCache>
            </c:strRef>
          </c:cat>
          <c:val>
            <c:numRef>
              <c:f>'sale trend'!$B$4:$B$9</c:f>
              <c:numCache>
                <c:formatCode>General</c:formatCode>
                <c:ptCount val="5"/>
                <c:pt idx="0">
                  <c:v>2148710.3199999998</c:v>
                </c:pt>
                <c:pt idx="1">
                  <c:v>1605066.0000000002</c:v>
                </c:pt>
                <c:pt idx="2">
                  <c:v>1319949.1399999994</c:v>
                </c:pt>
                <c:pt idx="3">
                  <c:v>1676593.4999999991</c:v>
                </c:pt>
                <c:pt idx="4">
                  <c:v>5298755.3500000006</c:v>
                </c:pt>
              </c:numCache>
            </c:numRef>
          </c:val>
          <c:smooth val="0"/>
          <c:extLst>
            <c:ext xmlns:c16="http://schemas.microsoft.com/office/drawing/2014/chart" uri="{C3380CC4-5D6E-409C-BE32-E72D297353CC}">
              <c16:uniqueId val="{00000000-C014-4084-92D3-E7D686A72BA4}"/>
            </c:ext>
          </c:extLst>
        </c:ser>
        <c:dLbls>
          <c:showLegendKey val="0"/>
          <c:showVal val="0"/>
          <c:showCatName val="0"/>
          <c:showSerName val="0"/>
          <c:showPercent val="0"/>
          <c:showBubbleSize val="0"/>
        </c:dLbls>
        <c:smooth val="0"/>
        <c:axId val="455937616"/>
        <c:axId val="620245616"/>
      </c:lineChart>
      <c:catAx>
        <c:axId val="455937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620245616"/>
        <c:crosses val="autoZero"/>
        <c:auto val="1"/>
        <c:lblAlgn val="ctr"/>
        <c:lblOffset val="100"/>
        <c:noMultiLvlLbl val="0"/>
      </c:catAx>
      <c:valAx>
        <c:axId val="62024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55937616"/>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[final_analysis_campaign Copy.xlsx]p&amp;l of adgroup!PivotTable3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P&amp;L</a:t>
            </a:r>
            <a:r>
              <a:rPr lang="en-US" sz="1600" b="1" baseline="0">
                <a:solidFill>
                  <a:schemeClr val="accent2">
                    <a:lumMod val="50000"/>
                  </a:schemeClr>
                </a:solidFill>
              </a:rPr>
              <a:t> by AdGroup</a:t>
            </a:r>
            <a:endParaRPr lang="en-US" sz="1600" b="1">
              <a:solidFill>
                <a:schemeClr val="accent2">
                  <a:lumMod val="50000"/>
                </a:schemeClr>
              </a:solidFill>
            </a:endParaRPr>
          </a:p>
        </c:rich>
      </c:tx>
      <c:layout>
        <c:manualLayout>
          <c:xMode val="edge"/>
          <c:yMode val="edge"/>
          <c:x val="0.2831245423975966"/>
          <c:y val="5.1132808398950159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lumMod val="75000"/>
              <a:lumOff val="25000"/>
            </a:schemeClr>
          </a:solidFill>
          <a:ln>
            <a:noFill/>
          </a:ln>
          <a:effectLst>
            <a:outerShdw blurRad="50800" dist="38100" dir="5400000" algn="t" rotWithShape="0">
              <a:prstClr val="black">
                <a:alpha val="40000"/>
              </a:prstClr>
            </a:outerShdw>
          </a:effectLst>
        </c:spPr>
      </c:pivotFmt>
      <c:pivotFmt>
        <c:idx val="4"/>
        <c:spPr>
          <a:solidFill>
            <a:schemeClr val="accent1"/>
          </a:solidFill>
          <a:ln>
            <a:noFill/>
          </a:ln>
          <a:effectLst/>
        </c:spPr>
        <c:marker>
          <c:symbol val="none"/>
        </c:marker>
      </c:pivotFmt>
      <c:pivotFmt>
        <c:idx val="5"/>
        <c:spPr>
          <a:solidFill>
            <a:schemeClr val="accent1">
              <a:lumMod val="75000"/>
              <a:lumOff val="25000"/>
            </a:schemeClr>
          </a:solidFill>
          <a:ln>
            <a:noFill/>
          </a:ln>
          <a:effectLst/>
        </c:spPr>
        <c:marker>
          <c:symbol val="none"/>
        </c:marker>
      </c:pivotFmt>
      <c:pivotFmt>
        <c:idx val="6"/>
        <c:spPr>
          <a:solidFill>
            <a:schemeClr val="accent1">
              <a:lumMod val="75000"/>
              <a:lumOff val="25000"/>
            </a:schemeClr>
          </a:solidFill>
          <a:ln>
            <a:noFill/>
          </a:ln>
          <a:effectLst/>
        </c:spPr>
        <c:marker>
          <c:symbol val="none"/>
        </c:marker>
      </c:pivotFmt>
    </c:pivotFmts>
    <c:plotArea>
      <c:layout>
        <c:manualLayout>
          <c:layoutTarget val="inner"/>
          <c:xMode val="edge"/>
          <c:yMode val="edge"/>
          <c:x val="0.13914763670377181"/>
          <c:y val="0.28851464995446996"/>
          <c:w val="0.83491517825687822"/>
          <c:h val="0.52765118645883546"/>
        </c:manualLayout>
      </c:layout>
      <c:barChart>
        <c:barDir val="col"/>
        <c:grouping val="clustered"/>
        <c:varyColors val="0"/>
        <c:ser>
          <c:idx val="0"/>
          <c:order val="0"/>
          <c:tx>
            <c:strRef>
              <c:f>'p&amp;l of adgroup'!$B$3</c:f>
              <c:strCache>
                <c:ptCount val="1"/>
                <c:pt idx="0">
                  <c:v>Total</c:v>
                </c:pt>
              </c:strCache>
            </c:strRef>
          </c:tx>
          <c:spPr>
            <a:solidFill>
              <a:schemeClr val="accent1">
                <a:lumMod val="75000"/>
                <a:lumOff val="25000"/>
              </a:schemeClr>
            </a:solidFill>
            <a:ln>
              <a:noFill/>
            </a:ln>
            <a:effectLst/>
          </c:spPr>
          <c:invertIfNegative val="0"/>
          <c:cat>
            <c:strRef>
              <c:f>'p&amp;l of adgroup'!$A$4:$A$10</c:f>
              <c:strCache>
                <c:ptCount val="6"/>
                <c:pt idx="0">
                  <c:v>Exact Desk</c:v>
                </c:pt>
                <c:pt idx="1">
                  <c:v>Phrase Desk</c:v>
                </c:pt>
                <c:pt idx="2">
                  <c:v>Exact Mob</c:v>
                </c:pt>
                <c:pt idx="3">
                  <c:v>Phrase Mob</c:v>
                </c:pt>
                <c:pt idx="4">
                  <c:v>1:1 Desk</c:v>
                </c:pt>
                <c:pt idx="5">
                  <c:v>1:1 Mob</c:v>
                </c:pt>
              </c:strCache>
            </c:strRef>
          </c:cat>
          <c:val>
            <c:numRef>
              <c:f>'p&amp;l of adgroup'!$B$4:$B$10</c:f>
              <c:numCache>
                <c:formatCode>General</c:formatCode>
                <c:ptCount val="6"/>
                <c:pt idx="0">
                  <c:v>-3494.846</c:v>
                </c:pt>
                <c:pt idx="1">
                  <c:v>-4021.7330000000006</c:v>
                </c:pt>
                <c:pt idx="2">
                  <c:v>-8524.5820000000003</c:v>
                </c:pt>
                <c:pt idx="3">
                  <c:v>-8618.3589999999986</c:v>
                </c:pt>
                <c:pt idx="4">
                  <c:v>-20490.739999999998</c:v>
                </c:pt>
                <c:pt idx="5">
                  <c:v>-28258.504000000001</c:v>
                </c:pt>
              </c:numCache>
            </c:numRef>
          </c:val>
          <c:extLst>
            <c:ext xmlns:c16="http://schemas.microsoft.com/office/drawing/2014/chart" uri="{C3380CC4-5D6E-409C-BE32-E72D297353CC}">
              <c16:uniqueId val="{00000000-0AF8-4C9D-8AA0-B74B31BEF2B8}"/>
            </c:ext>
          </c:extLst>
        </c:ser>
        <c:dLbls>
          <c:showLegendKey val="0"/>
          <c:showVal val="0"/>
          <c:showCatName val="0"/>
          <c:showSerName val="0"/>
          <c:showPercent val="0"/>
          <c:showBubbleSize val="0"/>
        </c:dLbls>
        <c:gapWidth val="219"/>
        <c:overlap val="-27"/>
        <c:axId val="558206384"/>
        <c:axId val="558207632"/>
      </c:barChart>
      <c:catAx>
        <c:axId val="558206384"/>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0" spcFirstLastPara="1" vertOverflow="ellipsis" wrap="square" anchor="t" anchorCtr="1"/>
          <a:lstStyle/>
          <a:p>
            <a:pPr>
              <a:defRPr sz="900" b="0" i="0" u="none" strike="noStrike" kern="1200" baseline="0">
                <a:solidFill>
                  <a:schemeClr val="accent1"/>
                </a:solidFill>
                <a:latin typeface="+mn-lt"/>
                <a:ea typeface="+mn-ea"/>
                <a:cs typeface="+mn-cs"/>
              </a:defRPr>
            </a:pPr>
            <a:endParaRPr lang="en-US"/>
          </a:p>
        </c:txPr>
        <c:crossAx val="558207632"/>
        <c:crosses val="autoZero"/>
        <c:auto val="0"/>
        <c:lblAlgn val="ctr"/>
        <c:lblOffset val="100"/>
        <c:noMultiLvlLbl val="0"/>
      </c:catAx>
      <c:valAx>
        <c:axId val="55820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558206384"/>
        <c:crossesAt val="1"/>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[final_analysis_campaign Copy.xlsx]sale by adgroup!PivotTable4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solidFill>
              </a:rPr>
              <a:t>Sales by Ad Group</a:t>
            </a:r>
            <a:endParaRPr lang="en-US" sz="1600" b="1">
              <a:solidFill>
                <a:schemeClr val="accent1"/>
              </a:solidFill>
            </a:endParaRPr>
          </a:p>
        </c:rich>
      </c:tx>
      <c:layout>
        <c:manualLayout>
          <c:xMode val="edge"/>
          <c:yMode val="edge"/>
          <c:x val="0.27244189542059877"/>
          <c:y val="4.920232658606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lumOff val="25000"/>
            </a:schemeClr>
          </a:solidFill>
          <a:ln>
            <a:noFill/>
          </a:ln>
          <a:effectLst/>
        </c:spPr>
        <c:marker>
          <c:symbol val="none"/>
        </c:marker>
      </c:pivotFmt>
    </c:pivotFmts>
    <c:plotArea>
      <c:layout/>
      <c:barChart>
        <c:barDir val="bar"/>
        <c:grouping val="clustered"/>
        <c:varyColors val="0"/>
        <c:ser>
          <c:idx val="0"/>
          <c:order val="0"/>
          <c:tx>
            <c:strRef>
              <c:f>'sale by adgroup'!$B$3</c:f>
              <c:strCache>
                <c:ptCount val="1"/>
                <c:pt idx="0">
                  <c:v>Total</c:v>
                </c:pt>
              </c:strCache>
            </c:strRef>
          </c:tx>
          <c:spPr>
            <a:solidFill>
              <a:schemeClr val="accent1">
                <a:lumMod val="75000"/>
                <a:lumOff val="25000"/>
              </a:schemeClr>
            </a:solidFill>
            <a:ln>
              <a:noFill/>
            </a:ln>
            <a:effectLst/>
          </c:spPr>
          <c:invertIfNegative val="0"/>
          <c:cat>
            <c:strRef>
              <c:f>'sale by adgroup'!$A$4:$A$10</c:f>
              <c:strCache>
                <c:ptCount val="6"/>
                <c:pt idx="0">
                  <c:v>1:1 Desk</c:v>
                </c:pt>
                <c:pt idx="1">
                  <c:v>1:1 Mob</c:v>
                </c:pt>
                <c:pt idx="2">
                  <c:v>Exact Desk</c:v>
                </c:pt>
                <c:pt idx="3">
                  <c:v>Exact Mob</c:v>
                </c:pt>
                <c:pt idx="4">
                  <c:v>Phrase Desk</c:v>
                </c:pt>
                <c:pt idx="5">
                  <c:v>Phrase Mob</c:v>
                </c:pt>
              </c:strCache>
            </c:strRef>
          </c:cat>
          <c:val>
            <c:numRef>
              <c:f>'sale by adgroup'!$B$4:$B$10</c:f>
              <c:numCache>
                <c:formatCode>General</c:formatCode>
                <c:ptCount val="6"/>
                <c:pt idx="0">
                  <c:v>3897156.69</c:v>
                </c:pt>
                <c:pt idx="1">
                  <c:v>4923511.04</c:v>
                </c:pt>
                <c:pt idx="2">
                  <c:v>979856.13000000012</c:v>
                </c:pt>
                <c:pt idx="3">
                  <c:v>1064887.6299999997</c:v>
                </c:pt>
                <c:pt idx="4">
                  <c:v>698423.6100000001</c:v>
                </c:pt>
                <c:pt idx="5">
                  <c:v>485239.21000000008</c:v>
                </c:pt>
              </c:numCache>
            </c:numRef>
          </c:val>
          <c:extLst>
            <c:ext xmlns:c16="http://schemas.microsoft.com/office/drawing/2014/chart" uri="{C3380CC4-5D6E-409C-BE32-E72D297353CC}">
              <c16:uniqueId val="{00000000-79AD-4B9A-9AF3-6EB8756A1F55}"/>
            </c:ext>
          </c:extLst>
        </c:ser>
        <c:dLbls>
          <c:showLegendKey val="0"/>
          <c:showVal val="0"/>
          <c:showCatName val="0"/>
          <c:showSerName val="0"/>
          <c:showPercent val="0"/>
          <c:showBubbleSize val="0"/>
        </c:dLbls>
        <c:gapWidth val="182"/>
        <c:axId val="618106368"/>
        <c:axId val="618111776"/>
      </c:barChart>
      <c:catAx>
        <c:axId val="618106368"/>
        <c:scaling>
          <c:orientation val="minMax"/>
        </c:scaling>
        <c:delete val="0"/>
        <c:axPos val="l"/>
        <c:numFmt formatCode="General" sourceLinked="1"/>
        <c:majorTickMark val="none"/>
        <c:minorTickMark val="none"/>
        <c:tickLblPos val="nextTo"/>
        <c:spPr>
          <a:solidFill>
            <a:schemeClr val="accent2">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618111776"/>
        <c:crosses val="autoZero"/>
        <c:auto val="1"/>
        <c:lblAlgn val="ctr"/>
        <c:lblOffset val="100"/>
        <c:noMultiLvlLbl val="0"/>
      </c:catAx>
      <c:valAx>
        <c:axId val="61811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618106368"/>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[final_analysis_campaign Copy.xlsx]Sheet5!PivotTable5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2">
                    <a:lumMod val="50000"/>
                  </a:schemeClr>
                </a:solidFill>
              </a:rPr>
              <a:t>Cost vs Sales Comparison </a:t>
            </a:r>
            <a:endParaRPr lang="en-US" sz="1600" b="1">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lumMod val="75000"/>
              <a:lumOff val="25000"/>
            </a:schemeClr>
          </a:solidFill>
          <a:ln>
            <a:noFill/>
          </a:ln>
          <a:effectLst/>
        </c:spPr>
      </c:pivotFmt>
      <c:pivotFmt>
        <c:idx val="7"/>
        <c:marker>
          <c:spPr>
            <a:solidFill>
              <a:schemeClr val="accent1">
                <a:lumMod val="10000"/>
                <a:lumOff val="90000"/>
              </a:schemeClr>
            </a:solidFill>
            <a:ln w="9525">
              <a:solidFill>
                <a:schemeClr val="accent1"/>
              </a:solidFill>
            </a:ln>
            <a:effectLst/>
          </c:spPr>
        </c:marker>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circle"/>
          <c:size val="5"/>
          <c:spPr>
            <a:solidFill>
              <a:schemeClr val="bg2"/>
            </a:solidFill>
            <a:ln w="9525">
              <a:solidFill>
                <a:schemeClr val="accent1"/>
              </a:solidFill>
            </a:ln>
            <a:effectLst/>
          </c:spPr>
        </c:marker>
      </c:pivotFmt>
    </c:pivotFmts>
    <c:plotArea>
      <c:layout/>
      <c:barChart>
        <c:barDir val="col"/>
        <c:grouping val="clustered"/>
        <c:varyColors val="0"/>
        <c:ser>
          <c:idx val="1"/>
          <c:order val="1"/>
          <c:tx>
            <c:strRef>
              <c:f>Sheet5!$C$3</c:f>
              <c:strCache>
                <c:ptCount val="1"/>
                <c:pt idx="0">
                  <c:v>Sum of Sale Amount</c:v>
                </c:pt>
              </c:strCache>
            </c:strRef>
          </c:tx>
          <c:spPr>
            <a:solidFill>
              <a:schemeClr val="accent2"/>
            </a:solidFill>
            <a:ln>
              <a:noFill/>
            </a:ln>
            <a:effectLst/>
          </c:spPr>
          <c:invertIfNegative val="0"/>
          <c:cat>
            <c:strRef>
              <c:f>Sheet5!$A$4:$A$9</c:f>
              <c:strCache>
                <c:ptCount val="5"/>
                <c:pt idx="0">
                  <c:v>July</c:v>
                </c:pt>
                <c:pt idx="1">
                  <c:v>August</c:v>
                </c:pt>
                <c:pt idx="2">
                  <c:v>September</c:v>
                </c:pt>
                <c:pt idx="3">
                  <c:v>October</c:v>
                </c:pt>
                <c:pt idx="4">
                  <c:v>November</c:v>
                </c:pt>
              </c:strCache>
            </c:strRef>
          </c:cat>
          <c:val>
            <c:numRef>
              <c:f>Sheet5!$C$4:$C$9</c:f>
              <c:numCache>
                <c:formatCode>General</c:formatCode>
                <c:ptCount val="5"/>
                <c:pt idx="0">
                  <c:v>2148710.3199999998</c:v>
                </c:pt>
                <c:pt idx="1">
                  <c:v>1605066.0000000002</c:v>
                </c:pt>
                <c:pt idx="2">
                  <c:v>1319949.1399999994</c:v>
                </c:pt>
                <c:pt idx="3">
                  <c:v>1676593.4999999991</c:v>
                </c:pt>
                <c:pt idx="4">
                  <c:v>5298755.3500000006</c:v>
                </c:pt>
              </c:numCache>
            </c:numRef>
          </c:val>
          <c:extLst>
            <c:ext xmlns:c16="http://schemas.microsoft.com/office/drawing/2014/chart" uri="{C3380CC4-5D6E-409C-BE32-E72D297353CC}">
              <c16:uniqueId val="{00000000-8385-43F6-8A0B-AB71357D0EE0}"/>
            </c:ext>
          </c:extLst>
        </c:ser>
        <c:dLbls>
          <c:showLegendKey val="0"/>
          <c:showVal val="0"/>
          <c:showCatName val="0"/>
          <c:showSerName val="0"/>
          <c:showPercent val="0"/>
          <c:showBubbleSize val="0"/>
        </c:dLbls>
        <c:gapWidth val="219"/>
        <c:axId val="618105536"/>
        <c:axId val="618112192"/>
      </c:barChart>
      <c:lineChart>
        <c:grouping val="standard"/>
        <c:varyColors val="0"/>
        <c:ser>
          <c:idx val="0"/>
          <c:order val="0"/>
          <c:tx>
            <c:strRef>
              <c:f>Sheet5!$B$3</c:f>
              <c:strCache>
                <c:ptCount val="1"/>
                <c:pt idx="0">
                  <c:v>Sum of Cost</c:v>
                </c:pt>
              </c:strCache>
            </c:strRef>
          </c:tx>
          <c:spPr>
            <a:ln w="28575" cap="rnd">
              <a:solidFill>
                <a:schemeClr val="accent1"/>
              </a:solidFill>
              <a:round/>
            </a:ln>
            <a:effectLst/>
          </c:spPr>
          <c:marker>
            <c:symbol val="circle"/>
            <c:size val="5"/>
            <c:spPr>
              <a:solidFill>
                <a:schemeClr val="bg2"/>
              </a:solidFill>
              <a:ln w="9525">
                <a:solidFill>
                  <a:schemeClr val="accent1"/>
                </a:solidFill>
              </a:ln>
              <a:effectLst/>
            </c:spPr>
          </c:marker>
          <c:cat>
            <c:strRef>
              <c:f>Sheet5!$A$4:$A$9</c:f>
              <c:strCache>
                <c:ptCount val="5"/>
                <c:pt idx="0">
                  <c:v>July</c:v>
                </c:pt>
                <c:pt idx="1">
                  <c:v>August</c:v>
                </c:pt>
                <c:pt idx="2">
                  <c:v>September</c:v>
                </c:pt>
                <c:pt idx="3">
                  <c:v>October</c:v>
                </c:pt>
                <c:pt idx="4">
                  <c:v>November</c:v>
                </c:pt>
              </c:strCache>
            </c:strRef>
          </c:cat>
          <c:val>
            <c:numRef>
              <c:f>Sheet5!$B$4:$B$9</c:f>
              <c:numCache>
                <c:formatCode>General</c:formatCode>
                <c:ptCount val="5"/>
                <c:pt idx="0">
                  <c:v>120541</c:v>
                </c:pt>
                <c:pt idx="1">
                  <c:v>84225</c:v>
                </c:pt>
                <c:pt idx="2">
                  <c:v>71597</c:v>
                </c:pt>
                <c:pt idx="3">
                  <c:v>78256</c:v>
                </c:pt>
                <c:pt idx="4">
                  <c:v>280753</c:v>
                </c:pt>
              </c:numCache>
            </c:numRef>
          </c:val>
          <c:smooth val="0"/>
          <c:extLst>
            <c:ext xmlns:c16="http://schemas.microsoft.com/office/drawing/2014/chart" uri="{C3380CC4-5D6E-409C-BE32-E72D297353CC}">
              <c16:uniqueId val="{00000001-8385-43F6-8A0B-AB71357D0EE0}"/>
            </c:ext>
          </c:extLst>
        </c:ser>
        <c:dLbls>
          <c:showLegendKey val="0"/>
          <c:showVal val="0"/>
          <c:showCatName val="0"/>
          <c:showSerName val="0"/>
          <c:showPercent val="0"/>
          <c:showBubbleSize val="0"/>
        </c:dLbls>
        <c:marker val="1"/>
        <c:smooth val="0"/>
        <c:axId val="618103040"/>
        <c:axId val="618123424"/>
      </c:lineChart>
      <c:catAx>
        <c:axId val="6181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618112192"/>
        <c:crosses val="autoZero"/>
        <c:auto val="1"/>
        <c:lblAlgn val="ctr"/>
        <c:lblOffset val="100"/>
        <c:noMultiLvlLbl val="0"/>
      </c:catAx>
      <c:valAx>
        <c:axId val="61811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618105536"/>
        <c:crosses val="autoZero"/>
        <c:crossBetween val="between"/>
      </c:valAx>
      <c:valAx>
        <c:axId val="6181234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03040"/>
        <c:crosses val="max"/>
        <c:crossBetween val="between"/>
      </c:valAx>
      <c:catAx>
        <c:axId val="618103040"/>
        <c:scaling>
          <c:orientation val="minMax"/>
        </c:scaling>
        <c:delete val="1"/>
        <c:axPos val="b"/>
        <c:numFmt formatCode="General" sourceLinked="1"/>
        <c:majorTickMark val="out"/>
        <c:minorTickMark val="none"/>
        <c:tickLblPos val="nextTo"/>
        <c:crossAx val="618123424"/>
        <c:crosses val="autoZero"/>
        <c:auto val="1"/>
        <c:lblAlgn val="ctr"/>
        <c:lblOffset val="100"/>
        <c:noMultiLvlLbl val="0"/>
      </c:catAx>
      <c:spPr>
        <a:noFill/>
        <a:ln>
          <a:noFill/>
        </a:ln>
        <a:effectLst/>
      </c:spPr>
    </c:plotArea>
    <c:legend>
      <c:legendPos val="r"/>
      <c:layout>
        <c:manualLayout>
          <c:xMode val="edge"/>
          <c:yMode val="edge"/>
          <c:x val="0.64734472505763585"/>
          <c:y val="0.48099191194554131"/>
          <c:w val="0.33349360070490819"/>
          <c:h val="0.192538386936608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321624</xdr:colOff>
      <xdr:row>13</xdr:row>
      <xdr:rowOff>241299</xdr:rowOff>
    </xdr:from>
    <xdr:to>
      <xdr:col>9</xdr:col>
      <xdr:colOff>493184</xdr:colOff>
      <xdr:row>24</xdr:row>
      <xdr:rowOff>144991</xdr:rowOff>
    </xdr:to>
    <xdr:sp macro="" textlink="">
      <xdr:nvSpPr>
        <xdr:cNvPr id="10" name="Rounded Rectangle 9"/>
        <xdr:cNvSpPr/>
      </xdr:nvSpPr>
      <xdr:spPr>
        <a:xfrm>
          <a:off x="2362695" y="3482273"/>
          <a:ext cx="4179483" cy="2501419"/>
        </a:xfrm>
        <a:prstGeom prst="roundRect">
          <a:avLst>
            <a:gd name="adj" fmla="val 2087"/>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619120</xdr:colOff>
      <xdr:row>4</xdr:row>
      <xdr:rowOff>47628</xdr:rowOff>
    </xdr:from>
    <xdr:to>
      <xdr:col>16</xdr:col>
      <xdr:colOff>295274</xdr:colOff>
      <xdr:row>13</xdr:row>
      <xdr:rowOff>105832</xdr:rowOff>
    </xdr:to>
    <xdr:sp macro="" textlink="">
      <xdr:nvSpPr>
        <xdr:cNvPr id="8" name="Rounded Rectangle 7"/>
        <xdr:cNvSpPr/>
      </xdr:nvSpPr>
      <xdr:spPr>
        <a:xfrm rot="5400000">
          <a:off x="7767636" y="-94721"/>
          <a:ext cx="2428871" cy="4491570"/>
        </a:xfrm>
        <a:prstGeom prst="roundRect">
          <a:avLst>
            <a:gd name="adj" fmla="val 1953"/>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0</xdr:row>
      <xdr:rowOff>152400</xdr:rowOff>
    </xdr:from>
    <xdr:to>
      <xdr:col>3</xdr:col>
      <xdr:colOff>200025</xdr:colOff>
      <xdr:row>24</xdr:row>
      <xdr:rowOff>173182</xdr:rowOff>
    </xdr:to>
    <xdr:sp macro="" textlink="">
      <xdr:nvSpPr>
        <xdr:cNvPr id="2" name="Rounded Rectangle 1"/>
        <xdr:cNvSpPr/>
      </xdr:nvSpPr>
      <xdr:spPr>
        <a:xfrm>
          <a:off x="104775" y="152400"/>
          <a:ext cx="2136321" cy="5859483"/>
        </a:xfrm>
        <a:prstGeom prst="roundRect">
          <a:avLst>
            <a:gd name="adj" fmla="val 5901"/>
          </a:avLst>
        </a:prstGeom>
        <a:solidFill>
          <a:schemeClr val="accent1">
            <a:lumMod val="10000"/>
            <a:lumOff val="9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342898</xdr:colOff>
      <xdr:row>0</xdr:row>
      <xdr:rowOff>128595</xdr:rowOff>
    </xdr:from>
    <xdr:to>
      <xdr:col>16</xdr:col>
      <xdr:colOff>323850</xdr:colOff>
      <xdr:row>3</xdr:row>
      <xdr:rowOff>171458</xdr:rowOff>
    </xdr:to>
    <xdr:sp macro="" textlink="">
      <xdr:nvSpPr>
        <xdr:cNvPr id="3" name="Rounded Rectangle 2"/>
        <xdr:cNvSpPr/>
      </xdr:nvSpPr>
      <xdr:spPr>
        <a:xfrm rot="5400000">
          <a:off x="6404232" y="-3891668"/>
          <a:ext cx="710850" cy="8751375"/>
        </a:xfrm>
        <a:prstGeom prst="roundRect">
          <a:avLst>
            <a:gd name="adj" fmla="val 6463"/>
          </a:avLst>
        </a:prstGeom>
        <a:solidFill>
          <a:schemeClr val="accent1">
            <a:lumMod val="90000"/>
            <a:lumOff val="1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333376</xdr:colOff>
      <xdr:row>4</xdr:row>
      <xdr:rowOff>57151</xdr:rowOff>
    </xdr:from>
    <xdr:to>
      <xdr:col>9</xdr:col>
      <xdr:colOff>485776</xdr:colOff>
      <xdr:row>13</xdr:row>
      <xdr:rowOff>84666</xdr:rowOff>
    </xdr:to>
    <xdr:sp macro="" textlink="">
      <xdr:nvSpPr>
        <xdr:cNvPr id="4" name="Rounded Rectangle 3"/>
        <xdr:cNvSpPr/>
      </xdr:nvSpPr>
      <xdr:spPr>
        <a:xfrm>
          <a:off x="2397126" y="946151"/>
          <a:ext cx="4205817" cy="2398182"/>
        </a:xfrm>
        <a:prstGeom prst="roundRect">
          <a:avLst>
            <a:gd name="adj" fmla="val 2087"/>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295275</xdr:colOff>
      <xdr:row>4</xdr:row>
      <xdr:rowOff>146644</xdr:rowOff>
    </xdr:from>
    <xdr:to>
      <xdr:col>15</xdr:col>
      <xdr:colOff>609600</xdr:colOff>
      <xdr:row>12</xdr:row>
      <xdr:rowOff>128491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407457</xdr:colOff>
      <xdr:row>14</xdr:row>
      <xdr:rowOff>23283</xdr:rowOff>
    </xdr:from>
    <xdr:to>
      <xdr:col>9</xdr:col>
      <xdr:colOff>433916</xdr:colOff>
      <xdr:row>23</xdr:row>
      <xdr:rowOff>72920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647700</xdr:colOff>
      <xdr:row>13</xdr:row>
      <xdr:rowOff>228599</xdr:rowOff>
    </xdr:from>
    <xdr:to>
      <xdr:col>16</xdr:col>
      <xdr:colOff>314325</xdr:colOff>
      <xdr:row>24</xdr:row>
      <xdr:rowOff>94191</xdr:rowOff>
    </xdr:to>
    <xdr:sp macro="" textlink="">
      <xdr:nvSpPr>
        <xdr:cNvPr id="11" name="Rounded Rectangle 10"/>
        <xdr:cNvSpPr/>
      </xdr:nvSpPr>
      <xdr:spPr>
        <a:xfrm>
          <a:off x="6696694" y="3469573"/>
          <a:ext cx="4429125" cy="2463319"/>
        </a:xfrm>
        <a:prstGeom prst="roundRect">
          <a:avLst>
            <a:gd name="adj" fmla="val 2087"/>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144863</xdr:colOff>
      <xdr:row>1</xdr:row>
      <xdr:rowOff>140885</xdr:rowOff>
    </xdr:from>
    <xdr:to>
      <xdr:col>3</xdr:col>
      <xdr:colOff>83735</xdr:colOff>
      <xdr:row>3</xdr:row>
      <xdr:rowOff>73269</xdr:rowOff>
    </xdr:to>
    <xdr:sp macro="" textlink="">
      <xdr:nvSpPr>
        <xdr:cNvPr id="14" name="TextBox 13"/>
        <xdr:cNvSpPr txBox="1"/>
      </xdr:nvSpPr>
      <xdr:spPr>
        <a:xfrm>
          <a:off x="144863" y="360693"/>
          <a:ext cx="2011345" cy="37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spc="140" baseline="0">
              <a:solidFill>
                <a:schemeClr val="accent1">
                  <a:lumMod val="75000"/>
                </a:schemeClr>
              </a:solidFill>
            </a:rPr>
            <a:t>Select Filters</a:t>
          </a:r>
        </a:p>
      </xdr:txBody>
    </xdr:sp>
    <xdr:clientData/>
  </xdr:twoCellAnchor>
  <xdr:twoCellAnchor>
    <xdr:from>
      <xdr:col>17</xdr:col>
      <xdr:colOff>415168</xdr:colOff>
      <xdr:row>30</xdr:row>
      <xdr:rowOff>92075</xdr:rowOff>
    </xdr:from>
    <xdr:to>
      <xdr:col>21</xdr:col>
      <xdr:colOff>369951</xdr:colOff>
      <xdr:row>37</xdr:row>
      <xdr:rowOff>135722</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154782</xdr:colOff>
      <xdr:row>0</xdr:row>
      <xdr:rowOff>167474</xdr:rowOff>
    </xdr:from>
    <xdr:to>
      <xdr:col>15</xdr:col>
      <xdr:colOff>408216</xdr:colOff>
      <xdr:row>3</xdr:row>
      <xdr:rowOff>73271</xdr:rowOff>
    </xdr:to>
    <xdr:sp macro="" textlink="">
      <xdr:nvSpPr>
        <xdr:cNvPr id="12" name="TextBox 11"/>
        <xdr:cNvSpPr txBox="1"/>
      </xdr:nvSpPr>
      <xdr:spPr>
        <a:xfrm>
          <a:off x="2917032" y="167474"/>
          <a:ext cx="7766278" cy="54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bg1"/>
              </a:solidFill>
            </a:rPr>
            <a:t>Marketing Campaign Performance Dashboard</a:t>
          </a:r>
          <a:endParaRPr lang="en-US" sz="3200">
            <a:solidFill>
              <a:schemeClr val="bg1"/>
            </a:solidFill>
          </a:endParaRPr>
        </a:p>
      </xdr:txBody>
    </xdr:sp>
    <xdr:clientData/>
  </xdr:twoCellAnchor>
  <xdr:twoCellAnchor>
    <xdr:from>
      <xdr:col>10</xdr:col>
      <xdr:colOff>300595</xdr:colOff>
      <xdr:row>13</xdr:row>
      <xdr:rowOff>259634</xdr:rowOff>
    </xdr:from>
    <xdr:to>
      <xdr:col>15</xdr:col>
      <xdr:colOff>424298</xdr:colOff>
      <xdr:row>24</xdr:row>
      <xdr:rowOff>42470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24742</xdr:colOff>
      <xdr:row>0</xdr:row>
      <xdr:rowOff>148443</xdr:rowOff>
    </xdr:from>
    <xdr:to>
      <xdr:col>20</xdr:col>
      <xdr:colOff>24740</xdr:colOff>
      <xdr:row>3</xdr:row>
      <xdr:rowOff>191306</xdr:rowOff>
    </xdr:to>
    <xdr:sp macro="" textlink="">
      <xdr:nvSpPr>
        <xdr:cNvPr id="44" name="Rounded Rectangle 43"/>
        <xdr:cNvSpPr/>
      </xdr:nvSpPr>
      <xdr:spPr>
        <a:xfrm rot="5400000">
          <a:off x="12719803" y="-1215579"/>
          <a:ext cx="710850" cy="3438894"/>
        </a:xfrm>
        <a:prstGeom prst="roundRect">
          <a:avLst>
            <a:gd name="adj" fmla="val 6463"/>
          </a:avLst>
        </a:prstGeom>
        <a:solidFill>
          <a:schemeClr val="accent1">
            <a:lumMod val="10000"/>
            <a:lumOff val="9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210291</xdr:colOff>
      <xdr:row>1</xdr:row>
      <xdr:rowOff>136072</xdr:rowOff>
    </xdr:from>
    <xdr:to>
      <xdr:col>19</xdr:col>
      <xdr:colOff>1422564</xdr:colOff>
      <xdr:row>2</xdr:row>
      <xdr:rowOff>160810</xdr:rowOff>
    </xdr:to>
    <xdr:sp macro="" textlink="">
      <xdr:nvSpPr>
        <xdr:cNvPr id="49" name="TextBox 48"/>
        <xdr:cNvSpPr txBox="1"/>
      </xdr:nvSpPr>
      <xdr:spPr>
        <a:xfrm>
          <a:off x="11541330" y="358734"/>
          <a:ext cx="2944091" cy="247401"/>
        </a:xfrm>
        <a:prstGeom prst="rect">
          <a:avLst/>
        </a:prstGeom>
        <a:solidFill>
          <a:schemeClr val="accent1">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100" b="1" u="sng">
              <a:solidFill>
                <a:schemeClr val="accent2">
                  <a:lumMod val="75000"/>
                </a:schemeClr>
              </a:solidFill>
            </a:rPr>
            <a:t>KPIs</a:t>
          </a:r>
        </a:p>
      </xdr:txBody>
    </xdr:sp>
    <xdr:clientData/>
  </xdr:twoCellAnchor>
  <xdr:twoCellAnchor>
    <xdr:from>
      <xdr:col>3</xdr:col>
      <xdr:colOff>516865</xdr:colOff>
      <xdr:row>4</xdr:row>
      <xdr:rowOff>166833</xdr:rowOff>
    </xdr:from>
    <xdr:to>
      <xdr:col>9</xdr:col>
      <xdr:colOff>284511</xdr:colOff>
      <xdr:row>13</xdr:row>
      <xdr:rowOff>12369</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488155</xdr:colOff>
      <xdr:row>14</xdr:row>
      <xdr:rowOff>11907</xdr:rowOff>
    </xdr:from>
    <xdr:to>
      <xdr:col>9</xdr:col>
      <xdr:colOff>345280</xdr:colOff>
      <xdr:row>24</xdr:row>
      <xdr:rowOff>130969</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21163</xdr:colOff>
      <xdr:row>4</xdr:row>
      <xdr:rowOff>103191</xdr:rowOff>
    </xdr:from>
    <xdr:to>
      <xdr:col>16</xdr:col>
      <xdr:colOff>119063</xdr:colOff>
      <xdr:row>13</xdr:row>
      <xdr:rowOff>23813</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47625</xdr:colOff>
      <xdr:row>13</xdr:row>
      <xdr:rowOff>214313</xdr:rowOff>
    </xdr:from>
    <xdr:to>
      <xdr:col>16</xdr:col>
      <xdr:colOff>261937</xdr:colOff>
      <xdr:row>24</xdr:row>
      <xdr:rowOff>107156</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271462</xdr:colOff>
      <xdr:row>4</xdr:row>
      <xdr:rowOff>69056</xdr:rowOff>
    </xdr:from>
    <xdr:to>
      <xdr:col>3</xdr:col>
      <xdr:colOff>28574</xdr:colOff>
      <xdr:row>11</xdr:row>
      <xdr:rowOff>214312</xdr:rowOff>
    </xdr:to>
    <mc:AlternateContent xmlns:mc="http://schemas.openxmlformats.org/markup-compatibility/2006" xmlns:a14="http://schemas.microsoft.com/office/drawing/2010/main">
      <mc:Choice Requires="a14">
        <xdr:graphicFrame macro="">
          <xdr:nvGraphicFramePr>
            <xdr:cNvPr id="5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1462" y="926306"/>
              <a:ext cx="1828800" cy="2002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271462</xdr:colOff>
      <xdr:row>12</xdr:row>
      <xdr:rowOff>152401</xdr:rowOff>
    </xdr:from>
    <xdr:to>
      <xdr:col>3</xdr:col>
      <xdr:colOff>28574</xdr:colOff>
      <xdr:row>22</xdr:row>
      <xdr:rowOff>107157</xdr:rowOff>
    </xdr:to>
    <mc:AlternateContent xmlns:mc="http://schemas.openxmlformats.org/markup-compatibility/2006" xmlns:a14="http://schemas.microsoft.com/office/drawing/2010/main">
      <mc:Choice Requires="a14">
        <xdr:graphicFrame macro="">
          <xdr:nvGraphicFramePr>
            <xdr:cNvPr id="56" name="ad group simplified"/>
            <xdr:cNvGraphicFramePr/>
          </xdr:nvGraphicFramePr>
          <xdr:xfrm>
            <a:off x="0" y="0"/>
            <a:ext cx="0" cy="0"/>
          </xdr:xfrm>
          <a:graphic>
            <a:graphicData uri="http://schemas.microsoft.com/office/drawing/2010/slicer">
              <sle:slicer xmlns:sle="http://schemas.microsoft.com/office/drawing/2010/slicer" name="ad group simplified"/>
            </a:graphicData>
          </a:graphic>
        </xdr:graphicFrame>
      </mc:Choice>
      <mc:Fallback xmlns="">
        <xdr:sp macro="" textlink="">
          <xdr:nvSpPr>
            <xdr:cNvPr id="0" name=""/>
            <xdr:cNvSpPr>
              <a:spLocks noTextEdit="1"/>
            </xdr:cNvSpPr>
          </xdr:nvSpPr>
          <xdr:spPr>
            <a:xfrm>
              <a:off x="271462" y="3140870"/>
              <a:ext cx="1828800" cy="2336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23813</xdr:colOff>
      <xdr:row>13</xdr:row>
      <xdr:rowOff>226227</xdr:rowOff>
    </xdr:from>
    <xdr:to>
      <xdr:col>20</xdr:col>
      <xdr:colOff>23811</xdr:colOff>
      <xdr:row>24</xdr:row>
      <xdr:rowOff>202410</xdr:rowOff>
    </xdr:to>
    <xdr:sp macro="" textlink="">
      <xdr:nvSpPr>
        <xdr:cNvPr id="58" name="Rounded Rectangle 57"/>
        <xdr:cNvSpPr/>
      </xdr:nvSpPr>
      <xdr:spPr>
        <a:xfrm rot="5400000">
          <a:off x="11971736" y="3030148"/>
          <a:ext cx="2512214" cy="3428998"/>
        </a:xfrm>
        <a:prstGeom prst="roundRect">
          <a:avLst>
            <a:gd name="adj" fmla="val 4270"/>
          </a:avLst>
        </a:prstGeom>
        <a:solidFill>
          <a:schemeClr val="accent1">
            <a:lumMod val="10000"/>
            <a:lumOff val="9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678657</xdr:colOff>
      <xdr:row>14</xdr:row>
      <xdr:rowOff>11906</xdr:rowOff>
    </xdr:from>
    <xdr:to>
      <xdr:col>19</xdr:col>
      <xdr:colOff>916781</xdr:colOff>
      <xdr:row>15</xdr:row>
      <xdr:rowOff>95250</xdr:rowOff>
    </xdr:to>
    <xdr:sp macro="" textlink="">
      <xdr:nvSpPr>
        <xdr:cNvPr id="59" name="TextBox 58"/>
        <xdr:cNvSpPr txBox="1"/>
      </xdr:nvSpPr>
      <xdr:spPr>
        <a:xfrm>
          <a:off x="12168188" y="3548062"/>
          <a:ext cx="1964531" cy="357188"/>
        </a:xfrm>
        <a:prstGeom prst="rect">
          <a:avLst/>
        </a:prstGeom>
        <a:solidFill>
          <a:schemeClr val="accent1">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solidFill>
                <a:schemeClr val="accent2">
                  <a:lumMod val="50000"/>
                </a:schemeClr>
              </a:solidFill>
            </a:rPr>
            <a:t>Insights</a:t>
          </a:r>
        </a:p>
      </xdr:txBody>
    </xdr:sp>
    <xdr:clientData/>
  </xdr:twoCellAnchor>
  <xdr:twoCellAnchor>
    <xdr:from>
      <xdr:col>17</xdr:col>
      <xdr:colOff>130970</xdr:colOff>
      <xdr:row>15</xdr:row>
      <xdr:rowOff>107154</xdr:rowOff>
    </xdr:from>
    <xdr:to>
      <xdr:col>19</xdr:col>
      <xdr:colOff>1654968</xdr:colOff>
      <xdr:row>24</xdr:row>
      <xdr:rowOff>142876</xdr:rowOff>
    </xdr:to>
    <xdr:sp macro="" textlink="">
      <xdr:nvSpPr>
        <xdr:cNvPr id="60" name="TextBox 59"/>
        <xdr:cNvSpPr txBox="1"/>
      </xdr:nvSpPr>
      <xdr:spPr>
        <a:xfrm>
          <a:off x="11620501" y="3917154"/>
          <a:ext cx="3250405" cy="2024066"/>
        </a:xfrm>
        <a:prstGeom prst="rect">
          <a:avLst/>
        </a:prstGeom>
        <a:solidFill>
          <a:schemeClr val="accent1">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Although the campaign generates strong sales volume (ROAS 18.96x) and a healthy conversion rate (10.38%), the overall campaign remains unprofitable due to high advertising costs—particularly driven by mobile ad groups, which contribute the majority of the total loss. Optimization efforts should focus on improving cost efficiency within high-loss segments.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8.571779976854" createdVersion="6" refreshedVersion="6" minRefreshableVersion="3" recordCount="190">
  <cacheSource type="worksheet">
    <worksheetSource name="AdData"/>
  </cacheSource>
  <cacheFields count="13">
    <cacheField name="Ad Group" numFmtId="0">
      <sharedItems count="40">
        <s v="Shop - 1:1 - Desk - [shop coupon code]"/>
        <s v="Shop - 1:1 - Desk - [shop coupon]"/>
        <s v="Shop - 1:1 - Desk - [shop discount code]"/>
        <s v="Shop - 1:1 - Desk - [shop promo code]"/>
        <s v="Shop - 1:1 - Desk - [shop promo]"/>
        <s v="Shop - 1:1 - Mob - [shop coupon code]"/>
        <s v="Shop - 1:1 - Mob - [shop coupon]"/>
        <s v="Shop - 1:1 - Mob - [shop discount code]"/>
        <s v="Shop - 1:1 - Mob - [shop promo code]"/>
        <s v="Shop - 1:1 - Mob - [shop promo]"/>
        <s v="Shop - Exact - Desk - Competitor"/>
        <s v="Shop - Exact - Desk - Coupon Code"/>
        <s v="Shop - Exact - Desk - Discount Code"/>
        <s v="Shop - Exact - Desk - Free Shipping"/>
        <s v="Shop - Exact - Desk - Offer"/>
        <s v="Shop - Exact - Desk - Promo Code"/>
        <s v="Shop - Exact - Desk - Sale"/>
        <s v="Shop - Exact - Mob - Competitor"/>
        <s v="Shop - Exact - Mob - Coupon Code"/>
        <s v="Shop - Exact - Mob - Discount Code"/>
        <s v="Shop - Exact - Mob - Free Shipping"/>
        <s v="Shop - Exact - Mob - Offer"/>
        <s v="Shop - Exact - Mob - Promo Code"/>
        <s v="Shop - Exact - Mob - Sale"/>
        <s v="Shop - Phrase - Desk - Competitor"/>
        <s v="Shop - Phrase - Desk - Coupon Code"/>
        <s v="Shop - Phrase - Desk - Discount Code"/>
        <s v="Shop - Phrase - Desk - Free Shipping"/>
        <s v="Shop - Phrase - Desk - Offer"/>
        <s v="Shop - Phrase - Desk - Promo Code"/>
        <s v="Shop - Phrase - Desk - Sale"/>
        <s v="Shop - Phrase - Mob - Competitor"/>
        <s v="Shop - Phrase - Mob - Coupon Code"/>
        <s v="Shop - Phrase - Mob - Discount Code"/>
        <s v="Shop - Phrase - Mob - Free Shipping"/>
        <s v="Shop - Phrase - Mob - Offer"/>
        <s v="Shop - Phrase - Mob - Promo Code"/>
        <s v="Shop - Phrase - Mob - Sale"/>
        <s v="Shop - Exact - Desk - Black Friday/Cyber Monday"/>
        <s v="Shop - Exact - Mob - Black Friday/Cyber Monday"/>
      </sharedItems>
    </cacheField>
    <cacheField name="Month" numFmtId="0">
      <sharedItems count="5">
        <s v="July"/>
        <s v="August"/>
        <s v="September"/>
        <s v="October"/>
        <s v="November"/>
      </sharedItems>
    </cacheField>
    <cacheField name="Impressions" numFmtId="0">
      <sharedItems containsSemiMixedTypes="0" containsString="0" containsNumber="1" containsInteger="1" minValue="35" maxValue="276568"/>
    </cacheField>
    <cacheField name="Clicks" numFmtId="0">
      <sharedItems containsSemiMixedTypes="0" containsString="0" containsNumber="1" containsInteger="1" minValue="2" maxValue="99526"/>
    </cacheField>
    <cacheField name="CTR" numFmtId="0">
      <sharedItems containsSemiMixedTypes="0" containsString="0" containsNumber="1" minValue="0.05" maxValue="0.47"/>
    </cacheField>
    <cacheField name="Conversions" numFmtId="0">
      <sharedItems containsSemiMixedTypes="0" containsString="0" containsNumber="1" containsInteger="1" minValue="0" maxValue="7563"/>
    </cacheField>
    <cacheField name="Conv Rate" numFmtId="0">
      <sharedItems containsSemiMixedTypes="0" containsString="0" containsNumber="1" minValue="0" maxValue="0.5"/>
    </cacheField>
    <cacheField name="Cost" numFmtId="0">
      <sharedItems containsSemiMixedTypes="0" containsString="0" containsNumber="1" containsInteger="1" minValue="1" maxValue="43542"/>
    </cacheField>
    <cacheField name="CPC" numFmtId="0">
      <sharedItems containsSemiMixedTypes="0" containsString="0" containsNumber="1" minValue="0.14000000000000001" maxValue="2.02"/>
    </cacheField>
    <cacheField name="Revenue" numFmtId="0">
      <sharedItems containsSemiMixedTypes="0" containsString="0" containsNumber="1" containsInteger="1" minValue="0" maxValue="42440"/>
    </cacheField>
    <cacheField name="Sale Amount" numFmtId="0">
      <sharedItems containsSemiMixedTypes="0" containsString="0" containsNumber="1" minValue="0" maxValue="886095.31"/>
    </cacheField>
    <cacheField name="P&amp;L" numFmtId="0">
      <sharedItems containsSemiMixedTypes="0" containsString="0" containsNumber="1" minValue="-5672.2709999999997" maxValue="1507.6849999999999"/>
    </cacheField>
    <cacheField name="ad group simplified" numFmtId="0">
      <sharedItems count="6">
        <s v="1:1 Desk"/>
        <s v="1:1 Mob"/>
        <s v="Exact Desk"/>
        <s v="Exact Mob"/>
        <s v="Phrase Desk"/>
        <s v="Phrase Mob"/>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0">
  <r>
    <x v="0"/>
    <x v="0"/>
    <n v="16038"/>
    <n v="6504"/>
    <n v="0.41"/>
    <n v="1166"/>
    <n v="0.1"/>
    <n v="6669"/>
    <n v="1.03"/>
    <n v="6402"/>
    <n v="136770.04999999999"/>
    <n v="-267.08600000000001"/>
    <x v="0"/>
  </r>
  <r>
    <x v="1"/>
    <x v="0"/>
    <n v="36462"/>
    <n v="14367"/>
    <n v="0.39"/>
    <n v="2188"/>
    <n v="0.09"/>
    <n v="13746"/>
    <n v="0.96"/>
    <n v="13262"/>
    <n v="283215.21000000002"/>
    <n v="-483.95100000000002"/>
    <x v="0"/>
  </r>
  <r>
    <x v="2"/>
    <x v="0"/>
    <n v="3635"/>
    <n v="1458"/>
    <n v="0.4"/>
    <n v="248"/>
    <n v="0.09"/>
    <n v="1606"/>
    <n v="1.1000000000000001"/>
    <n v="1723"/>
    <n v="39165.46"/>
    <n v="117.136"/>
    <x v="0"/>
  </r>
  <r>
    <x v="3"/>
    <x v="0"/>
    <n v="26185"/>
    <n v="10418"/>
    <n v="0.4"/>
    <n v="2294"/>
    <n v="0.12"/>
    <n v="13278"/>
    <n v="1.27"/>
    <n v="13042"/>
    <n v="284823.48"/>
    <n v="-235.92099999999999"/>
    <x v="0"/>
  </r>
  <r>
    <x v="4"/>
    <x v="0"/>
    <n v="808"/>
    <n v="282"/>
    <n v="0.35"/>
    <n v="61"/>
    <n v="0.15"/>
    <n v="391"/>
    <n v="1.39"/>
    <n v="337"/>
    <n v="7717.77"/>
    <n v="-53.603999999999999"/>
    <x v="0"/>
  </r>
  <r>
    <x v="5"/>
    <x v="0"/>
    <n v="46507"/>
    <n v="21756"/>
    <n v="0.47"/>
    <n v="1665"/>
    <n v="0.05"/>
    <n v="13157"/>
    <n v="0.6"/>
    <n v="8550"/>
    <n v="185824.49"/>
    <n v="-4606.7129999999997"/>
    <x v="1"/>
  </r>
  <r>
    <x v="6"/>
    <x v="0"/>
    <n v="152394"/>
    <n v="59177"/>
    <n v="0.39"/>
    <n v="2666"/>
    <n v="0.04"/>
    <n v="19371"/>
    <n v="0.33"/>
    <n v="13699"/>
    <n v="294536.92"/>
    <n v="-5672.2709999999997"/>
    <x v="1"/>
  </r>
  <r>
    <x v="7"/>
    <x v="0"/>
    <n v="9950"/>
    <n v="4283"/>
    <n v="0.43"/>
    <n v="347"/>
    <n v="0.05"/>
    <n v="2637"/>
    <n v="0.62"/>
    <n v="2038"/>
    <n v="46026.32"/>
    <n v="-598.99300000000005"/>
    <x v="1"/>
  </r>
  <r>
    <x v="8"/>
    <x v="0"/>
    <n v="57373"/>
    <n v="27121"/>
    <n v="0.47"/>
    <n v="2940"/>
    <n v="7.0000000000000007E-2"/>
    <n v="16946"/>
    <n v="0.62"/>
    <n v="14565"/>
    <n v="321387.88"/>
    <n v="-2380.616"/>
    <x v="1"/>
  </r>
  <r>
    <x v="9"/>
    <x v="0"/>
    <n v="1875"/>
    <n v="706"/>
    <n v="0.38"/>
    <n v="69"/>
    <n v="7.0000000000000007E-2"/>
    <n v="485"/>
    <n v="0.69"/>
    <n v="409"/>
    <n v="8946.99"/>
    <n v="-75.733999999999995"/>
    <x v="1"/>
  </r>
  <r>
    <x v="10"/>
    <x v="0"/>
    <n v="721"/>
    <n v="195"/>
    <n v="0.27"/>
    <n v="25"/>
    <n v="0.09"/>
    <n v="188"/>
    <n v="0.97"/>
    <n v="188"/>
    <n v="3853.27"/>
    <n v="0.184"/>
    <x v="2"/>
  </r>
  <r>
    <x v="11"/>
    <x v="0"/>
    <n v="8053"/>
    <n v="2678"/>
    <n v="0.33"/>
    <n v="392"/>
    <n v="0.08"/>
    <n v="2814"/>
    <n v="1.05"/>
    <n v="2475"/>
    <n v="56017.16"/>
    <n v="-338.63"/>
    <x v="2"/>
  </r>
  <r>
    <x v="12"/>
    <x v="0"/>
    <n v="2181"/>
    <n v="539"/>
    <n v="0.25"/>
    <n v="70"/>
    <n v="0.08"/>
    <n v="577"/>
    <n v="1.07"/>
    <n v="449"/>
    <n v="10689.01"/>
    <n v="-128.102"/>
    <x v="2"/>
  </r>
  <r>
    <x v="13"/>
    <x v="0"/>
    <n v="656"/>
    <n v="168"/>
    <n v="0.26"/>
    <n v="29"/>
    <n v="0.17"/>
    <n v="65"/>
    <n v="0.39"/>
    <n v="84"/>
    <n v="2097.29"/>
    <n v="19.218"/>
    <x v="2"/>
  </r>
  <r>
    <x v="14"/>
    <x v="0"/>
    <n v="490"/>
    <n v="115"/>
    <n v="0.23"/>
    <n v="26"/>
    <n v="0.12"/>
    <n v="221"/>
    <n v="1.92"/>
    <n v="149"/>
    <n v="3058.02"/>
    <n v="-71.828999999999994"/>
    <x v="2"/>
  </r>
  <r>
    <x v="15"/>
    <x v="0"/>
    <n v="7366"/>
    <n v="2693"/>
    <n v="0.37"/>
    <n v="536"/>
    <n v="0.11"/>
    <n v="3469"/>
    <n v="1.29"/>
    <n v="3089"/>
    <n v="68146.259999999995"/>
    <n v="-380.31"/>
    <x v="2"/>
  </r>
  <r>
    <x v="16"/>
    <x v="0"/>
    <n v="6318"/>
    <n v="598"/>
    <n v="0.09"/>
    <n v="46"/>
    <n v="7.0000000000000007E-2"/>
    <n v="416"/>
    <n v="0.7"/>
    <n v="278"/>
    <n v="5552.73"/>
    <n v="-138.32499999999999"/>
    <x v="2"/>
  </r>
  <r>
    <x v="17"/>
    <x v="0"/>
    <n v="1771"/>
    <n v="594"/>
    <n v="0.34"/>
    <n v="34"/>
    <n v="0.05"/>
    <n v="272"/>
    <n v="0.46"/>
    <n v="177"/>
    <n v="3576.13"/>
    <n v="-95.427999999999997"/>
    <x v="3"/>
  </r>
  <r>
    <x v="18"/>
    <x v="0"/>
    <n v="27672"/>
    <n v="9335"/>
    <n v="0.34"/>
    <n v="478"/>
    <n v="0.04"/>
    <n v="4105"/>
    <n v="0.44"/>
    <n v="2783"/>
    <n v="62357.68"/>
    <n v="-1321.6089999999999"/>
    <x v="3"/>
  </r>
  <r>
    <x v="19"/>
    <x v="0"/>
    <n v="6278"/>
    <n v="1506"/>
    <n v="0.24"/>
    <n v="59"/>
    <n v="0.03"/>
    <n v="817"/>
    <n v="0.54"/>
    <n v="313"/>
    <n v="6420.67"/>
    <n v="-504.33199999999999"/>
    <x v="3"/>
  </r>
  <r>
    <x v="20"/>
    <x v="0"/>
    <n v="881"/>
    <n v="272"/>
    <n v="0.31"/>
    <n v="15"/>
    <n v="7.0000000000000007E-2"/>
    <n v="63"/>
    <n v="0.23"/>
    <n v="22"/>
    <n v="507.9"/>
    <n v="-40.58"/>
    <x v="3"/>
  </r>
  <r>
    <x v="21"/>
    <x v="0"/>
    <n v="1029"/>
    <n v="256"/>
    <n v="0.25"/>
    <n v="24"/>
    <n v="7.0000000000000007E-2"/>
    <n v="212"/>
    <n v="0.83"/>
    <n v="208"/>
    <n v="4425.49"/>
    <n v="-3.5089999999999999"/>
    <x v="3"/>
  </r>
  <r>
    <x v="22"/>
    <x v="0"/>
    <n v="17771"/>
    <n v="6635"/>
    <n v="0.37"/>
    <n v="590"/>
    <n v="0.06"/>
    <n v="4404"/>
    <n v="0.66"/>
    <n v="3444"/>
    <n v="78127.289999999994"/>
    <n v="-959.71799999999996"/>
    <x v="3"/>
  </r>
  <r>
    <x v="23"/>
    <x v="0"/>
    <n v="9812"/>
    <n v="1008"/>
    <n v="0.1"/>
    <n v="42"/>
    <n v="0.04"/>
    <n v="413"/>
    <n v="0.41"/>
    <n v="202"/>
    <n v="4242.7"/>
    <n v="-210.84399999999999"/>
    <x v="3"/>
  </r>
  <r>
    <x v="24"/>
    <x v="0"/>
    <n v="36"/>
    <n v="5"/>
    <n v="0.14000000000000001"/>
    <n v="2"/>
    <n v="0.33"/>
    <n v="5"/>
    <n v="1.05"/>
    <n v="13"/>
    <n v="261.39999999999998"/>
    <n v="8.07"/>
    <x v="4"/>
  </r>
  <r>
    <x v="25"/>
    <x v="0"/>
    <n v="9751"/>
    <n v="3402"/>
    <n v="0.35"/>
    <n v="579"/>
    <n v="0.1"/>
    <n v="3792"/>
    <n v="1.1100000000000001"/>
    <n v="3547"/>
    <n v="75564.22"/>
    <n v="-244.797"/>
    <x v="4"/>
  </r>
  <r>
    <x v="26"/>
    <x v="0"/>
    <n v="1062"/>
    <n v="147"/>
    <n v="0.14000000000000001"/>
    <n v="13"/>
    <n v="0.06"/>
    <n v="135"/>
    <n v="0.92"/>
    <n v="67"/>
    <n v="1682.55"/>
    <n v="-68.055000000000007"/>
    <x v="4"/>
  </r>
  <r>
    <x v="27"/>
    <x v="0"/>
    <n v="66"/>
    <n v="8"/>
    <n v="0.12"/>
    <n v="0"/>
    <n v="0"/>
    <n v="3"/>
    <n v="0.48"/>
    <n v="0"/>
    <n v="0"/>
    <n v="-3"/>
    <x v="4"/>
  </r>
  <r>
    <x v="28"/>
    <x v="0"/>
    <n v="389"/>
    <n v="54"/>
    <n v="0.14000000000000001"/>
    <n v="10"/>
    <n v="0.19"/>
    <n v="58"/>
    <n v="1.0900000000000001"/>
    <n v="63"/>
    <n v="1264.52"/>
    <n v="5.2290000000000001"/>
    <x v="4"/>
  </r>
  <r>
    <x v="29"/>
    <x v="0"/>
    <n v="5919"/>
    <n v="1954"/>
    <n v="0.33"/>
    <n v="408"/>
    <n v="0.12"/>
    <n v="2396"/>
    <n v="1.23"/>
    <n v="2400"/>
    <n v="50958.58"/>
    <n v="3.585"/>
    <x v="4"/>
  </r>
  <r>
    <x v="30"/>
    <x v="0"/>
    <n v="8180"/>
    <n v="593"/>
    <n v="7.0000000000000007E-2"/>
    <n v="34"/>
    <n v="7.0000000000000007E-2"/>
    <n v="426"/>
    <n v="0.72"/>
    <n v="232"/>
    <n v="4631.9399999999996"/>
    <n v="-194.38499999999999"/>
    <x v="4"/>
  </r>
  <r>
    <x v="31"/>
    <x v="0"/>
    <n v="55"/>
    <n v="11"/>
    <n v="0.2"/>
    <n v="2"/>
    <n v="0.1"/>
    <n v="5"/>
    <n v="0.51"/>
    <n v="16"/>
    <n v="313.5"/>
    <n v="10.675000000000001"/>
    <x v="5"/>
  </r>
  <r>
    <x v="32"/>
    <x v="0"/>
    <n v="18457"/>
    <n v="6762"/>
    <n v="0.37"/>
    <n v="380"/>
    <n v="0.04"/>
    <n v="3660"/>
    <n v="0.54"/>
    <n v="2262"/>
    <n v="49153.07"/>
    <n v="-1397.7339999999999"/>
    <x v="5"/>
  </r>
  <r>
    <x v="33"/>
    <x v="0"/>
    <n v="1813"/>
    <n v="264"/>
    <n v="0.15"/>
    <n v="4"/>
    <n v="0.01"/>
    <n v="138"/>
    <n v="0.53"/>
    <n v="21"/>
    <n v="419.62"/>
    <n v="-117.017"/>
    <x v="5"/>
  </r>
  <r>
    <x v="34"/>
    <x v="0"/>
    <n v="118"/>
    <n v="15"/>
    <n v="0.13"/>
    <n v="0"/>
    <n v="0"/>
    <n v="6"/>
    <n v="0.4"/>
    <n v="0"/>
    <n v="0"/>
    <n v="-6"/>
    <x v="5"/>
  </r>
  <r>
    <x v="35"/>
    <x v="0"/>
    <n v="593"/>
    <n v="109"/>
    <n v="0.18"/>
    <n v="3"/>
    <n v="0.04"/>
    <n v="52"/>
    <n v="0.49"/>
    <n v="8"/>
    <n v="168.54"/>
    <n v="-43.570999999999998"/>
    <x v="5"/>
  </r>
  <r>
    <x v="36"/>
    <x v="0"/>
    <n v="9838"/>
    <n v="3509"/>
    <n v="0.36"/>
    <n v="282"/>
    <n v="0.06"/>
    <n v="2562"/>
    <n v="0.73"/>
    <n v="1836"/>
    <n v="41275.06"/>
    <n v="-725.72199999999998"/>
    <x v="5"/>
  </r>
  <r>
    <x v="37"/>
    <x v="0"/>
    <n v="17807"/>
    <n v="2054"/>
    <n v="0.12"/>
    <n v="35"/>
    <n v="0.03"/>
    <n v="981"/>
    <n v="0.48"/>
    <n v="262"/>
    <n v="5531.15"/>
    <n v="-718.56799999999998"/>
    <x v="5"/>
  </r>
  <r>
    <x v="8"/>
    <x v="1"/>
    <n v="40627"/>
    <n v="17655"/>
    <n v="0.43"/>
    <n v="1968"/>
    <n v="7.0000000000000007E-2"/>
    <n v="12262"/>
    <n v="0.69"/>
    <n v="10303"/>
    <n v="230817.79"/>
    <n v="-1958.963"/>
    <x v="1"/>
  </r>
  <r>
    <x v="3"/>
    <x v="1"/>
    <n v="19648"/>
    <n v="7673"/>
    <n v="0.39"/>
    <n v="1622"/>
    <n v="0.11"/>
    <n v="11235"/>
    <n v="1.46"/>
    <n v="9928"/>
    <n v="216628.45"/>
    <n v="-1307.2729999999999"/>
    <x v="0"/>
  </r>
  <r>
    <x v="6"/>
    <x v="1"/>
    <n v="105966"/>
    <n v="32005"/>
    <n v="0.3"/>
    <n v="1530"/>
    <n v="0.04"/>
    <n v="10713"/>
    <n v="0.33"/>
    <n v="8473"/>
    <n v="185757.89"/>
    <n v="-2240.076"/>
    <x v="1"/>
  </r>
  <r>
    <x v="1"/>
    <x v="1"/>
    <n v="28499"/>
    <n v="10141"/>
    <n v="0.36"/>
    <n v="1509"/>
    <n v="0.08"/>
    <n v="10586"/>
    <n v="1.04"/>
    <n v="8859"/>
    <n v="192105.72"/>
    <n v="-1727.135"/>
    <x v="0"/>
  </r>
  <r>
    <x v="5"/>
    <x v="1"/>
    <n v="34189"/>
    <n v="13905"/>
    <n v="0.41"/>
    <n v="1218"/>
    <n v="0.06"/>
    <n v="8146"/>
    <n v="0.59"/>
    <n v="6766"/>
    <n v="148681.16"/>
    <n v="-1380.3240000000001"/>
    <x v="1"/>
  </r>
  <r>
    <x v="0"/>
    <x v="1"/>
    <n v="12790"/>
    <n v="4983"/>
    <n v="0.39"/>
    <n v="897"/>
    <n v="0.1"/>
    <n v="6123"/>
    <n v="1.23"/>
    <n v="5590"/>
    <n v="123475.45"/>
    <n v="-532.53700000000003"/>
    <x v="0"/>
  </r>
  <r>
    <x v="15"/>
    <x v="1"/>
    <n v="6561"/>
    <n v="2328"/>
    <n v="0.35"/>
    <n v="498"/>
    <n v="0.11"/>
    <n v="3467"/>
    <n v="1.49"/>
    <n v="3316"/>
    <n v="78661"/>
    <n v="-150.50299999999999"/>
    <x v="2"/>
  </r>
  <r>
    <x v="22"/>
    <x v="1"/>
    <n v="13488"/>
    <n v="4605"/>
    <n v="0.34"/>
    <n v="435"/>
    <n v="0.06"/>
    <n v="2884"/>
    <n v="0.63"/>
    <n v="2678"/>
    <n v="60074.53"/>
    <n v="-205.99700000000001"/>
    <x v="3"/>
  </r>
  <r>
    <x v="11"/>
    <x v="1"/>
    <n v="6244"/>
    <n v="2020"/>
    <n v="0.32"/>
    <n v="327"/>
    <n v="0.09"/>
    <n v="2267"/>
    <n v="1.1200000000000001"/>
    <n v="2115"/>
    <n v="51885.05"/>
    <n v="-151.631"/>
    <x v="2"/>
  </r>
  <r>
    <x v="29"/>
    <x v="1"/>
    <n v="4729"/>
    <n v="1635"/>
    <n v="0.35"/>
    <n v="315"/>
    <n v="0.11"/>
    <n v="2229"/>
    <n v="1.36"/>
    <n v="2010"/>
    <n v="44479.12"/>
    <n v="-218.804"/>
    <x v="4"/>
  </r>
  <r>
    <x v="18"/>
    <x v="1"/>
    <n v="16969"/>
    <n v="5126"/>
    <n v="0.3"/>
    <n v="340"/>
    <n v="0.05"/>
    <n v="2176"/>
    <n v="0.42"/>
    <n v="1992"/>
    <n v="44234.46"/>
    <n v="-184.29499999999999"/>
    <x v="3"/>
  </r>
  <r>
    <x v="25"/>
    <x v="1"/>
    <n v="5283"/>
    <n v="1632"/>
    <n v="0.31"/>
    <n v="226"/>
    <n v="0.08"/>
    <n v="1767"/>
    <n v="1.08"/>
    <n v="1455"/>
    <n v="33678.17"/>
    <n v="-312.26299999999998"/>
    <x v="4"/>
  </r>
  <r>
    <x v="7"/>
    <x v="1"/>
    <n v="7544"/>
    <n v="2523"/>
    <n v="0.33"/>
    <n v="216"/>
    <n v="0.05"/>
    <n v="1590"/>
    <n v="0.63"/>
    <n v="1591"/>
    <n v="35605.11"/>
    <n v="1.36"/>
    <x v="1"/>
  </r>
  <r>
    <x v="2"/>
    <x v="1"/>
    <n v="2938"/>
    <n v="1111"/>
    <n v="0.38"/>
    <n v="197"/>
    <n v="0.09"/>
    <n v="1571"/>
    <n v="1.41"/>
    <n v="1203"/>
    <n v="27608.55"/>
    <n v="-368.01600000000002"/>
    <x v="0"/>
  </r>
  <r>
    <x v="36"/>
    <x v="1"/>
    <n v="7040"/>
    <n v="2407"/>
    <n v="0.34"/>
    <n v="214"/>
    <n v="0.06"/>
    <n v="1430"/>
    <n v="0.59"/>
    <n v="1373"/>
    <n v="31563.25"/>
    <n v="-56.691000000000003"/>
    <x v="5"/>
  </r>
  <r>
    <x v="32"/>
    <x v="1"/>
    <n v="8203"/>
    <n v="2504"/>
    <n v="0.31"/>
    <n v="146"/>
    <n v="0.04"/>
    <n v="1148"/>
    <n v="0.46"/>
    <n v="851"/>
    <n v="19110.689999999999"/>
    <n v="-297.27499999999998"/>
    <x v="5"/>
  </r>
  <r>
    <x v="12"/>
    <x v="1"/>
    <n v="2263"/>
    <n v="556"/>
    <n v="0.25"/>
    <n v="74"/>
    <n v="0.08"/>
    <n v="627"/>
    <n v="1.1299999999999999"/>
    <n v="516"/>
    <n v="11853.27"/>
    <n v="-111.38500000000001"/>
    <x v="2"/>
  </r>
  <r>
    <x v="30"/>
    <x v="1"/>
    <n v="6770"/>
    <n v="629"/>
    <n v="0.09"/>
    <n v="37"/>
    <n v="0.06"/>
    <n v="486"/>
    <n v="0.77"/>
    <n v="240"/>
    <n v="5356.52"/>
    <n v="-245.86"/>
    <x v="4"/>
  </r>
  <r>
    <x v="19"/>
    <x v="1"/>
    <n v="3973"/>
    <n v="933"/>
    <n v="0.23"/>
    <n v="52"/>
    <n v="0.04"/>
    <n v="406"/>
    <n v="0.44"/>
    <n v="470"/>
    <n v="11817.23"/>
    <n v="64.046000000000006"/>
    <x v="3"/>
  </r>
  <r>
    <x v="37"/>
    <x v="1"/>
    <n v="7044"/>
    <n v="947"/>
    <n v="0.13"/>
    <n v="35"/>
    <n v="0.04"/>
    <n v="401"/>
    <n v="0.42"/>
    <n v="285"/>
    <n v="5960.76"/>
    <n v="-116.499"/>
    <x v="5"/>
  </r>
  <r>
    <x v="9"/>
    <x v="1"/>
    <n v="1489"/>
    <n v="472"/>
    <n v="0.32"/>
    <n v="61"/>
    <n v="0.08"/>
    <n v="347"/>
    <n v="0.74"/>
    <n v="295"/>
    <n v="6494.87"/>
    <n v="-52.103000000000002"/>
    <x v="1"/>
  </r>
  <r>
    <x v="4"/>
    <x v="1"/>
    <n v="745"/>
    <n v="240"/>
    <n v="0.32"/>
    <n v="52"/>
    <n v="0.11"/>
    <n v="343"/>
    <n v="1.43"/>
    <n v="346"/>
    <n v="7835.88"/>
    <n v="3.1709999999999998"/>
    <x v="0"/>
  </r>
  <r>
    <x v="14"/>
    <x v="1"/>
    <n v="613"/>
    <n v="163"/>
    <n v="0.27"/>
    <n v="39"/>
    <n v="0.12"/>
    <n v="329"/>
    <n v="2.02"/>
    <n v="274"/>
    <n v="5752.61"/>
    <n v="-54.539000000000001"/>
    <x v="2"/>
  </r>
  <r>
    <x v="16"/>
    <x v="1"/>
    <n v="3187"/>
    <n v="341"/>
    <n v="0.11"/>
    <n v="20"/>
    <n v="0.04"/>
    <n v="273"/>
    <n v="0.8"/>
    <n v="162"/>
    <n v="3395.73"/>
    <n v="-110.746"/>
    <x v="2"/>
  </r>
  <r>
    <x v="23"/>
    <x v="1"/>
    <n v="3884"/>
    <n v="565"/>
    <n v="0.15"/>
    <n v="27"/>
    <n v="0.04"/>
    <n v="229"/>
    <n v="0.41"/>
    <n v="173"/>
    <n v="3888.51"/>
    <n v="-55.92"/>
    <x v="3"/>
  </r>
  <r>
    <x v="28"/>
    <x v="1"/>
    <n v="618"/>
    <n v="149"/>
    <n v="0.24"/>
    <n v="25"/>
    <n v="0.09"/>
    <n v="182"/>
    <n v="1.23"/>
    <n v="106"/>
    <n v="2205.34"/>
    <n v="-76.221999999999994"/>
    <x v="4"/>
  </r>
  <r>
    <x v="21"/>
    <x v="1"/>
    <n v="986"/>
    <n v="248"/>
    <n v="0.25"/>
    <n v="24"/>
    <n v="0.06"/>
    <n v="177"/>
    <n v="0.71"/>
    <n v="162"/>
    <n v="3563.44"/>
    <n v="-14.789"/>
    <x v="3"/>
  </r>
  <r>
    <x v="26"/>
    <x v="1"/>
    <n v="1088"/>
    <n v="159"/>
    <n v="0.15"/>
    <n v="15"/>
    <n v="0.06"/>
    <n v="163"/>
    <n v="1.03"/>
    <n v="87"/>
    <n v="1955.08"/>
    <n v="-76.293999999999997"/>
    <x v="4"/>
  </r>
  <r>
    <x v="10"/>
    <x v="1"/>
    <n v="591"/>
    <n v="153"/>
    <n v="0.26"/>
    <n v="24"/>
    <n v="0.1"/>
    <n v="161"/>
    <n v="1.05"/>
    <n v="173"/>
    <n v="3503.52"/>
    <n v="12.192"/>
    <x v="2"/>
  </r>
  <r>
    <x v="17"/>
    <x v="1"/>
    <n v="1113"/>
    <n v="333"/>
    <n v="0.3"/>
    <n v="14"/>
    <n v="0.04"/>
    <n v="142"/>
    <n v="0.43"/>
    <n v="76"/>
    <n v="1876.34"/>
    <n v="-65.527000000000001"/>
    <x v="3"/>
  </r>
  <r>
    <x v="33"/>
    <x v="1"/>
    <n v="1303"/>
    <n v="233"/>
    <n v="0.18"/>
    <n v="9"/>
    <n v="0.03"/>
    <n v="111"/>
    <n v="0.48"/>
    <n v="51"/>
    <n v="1025.9100000000001"/>
    <n v="-59.698999999999998"/>
    <x v="5"/>
  </r>
  <r>
    <x v="35"/>
    <x v="1"/>
    <n v="689"/>
    <n v="172"/>
    <n v="0.25"/>
    <n v="13"/>
    <n v="0.05"/>
    <n v="89"/>
    <n v="0.52"/>
    <n v="57"/>
    <n v="1226.22"/>
    <n v="-31.684999999999999"/>
    <x v="5"/>
  </r>
  <r>
    <x v="13"/>
    <x v="1"/>
    <n v="678"/>
    <n v="163"/>
    <n v="0.24"/>
    <n v="28"/>
    <n v="0.17"/>
    <n v="76"/>
    <n v="0.47"/>
    <n v="70"/>
    <n v="1509.18"/>
    <n v="-6.11"/>
    <x v="2"/>
  </r>
  <r>
    <x v="20"/>
    <x v="1"/>
    <n v="817"/>
    <n v="274"/>
    <n v="0.34"/>
    <n v="19"/>
    <n v="7.0000000000000007E-2"/>
    <n v="68"/>
    <n v="0.25"/>
    <n v="29"/>
    <n v="650.73"/>
    <n v="-39.015999999999998"/>
    <x v="3"/>
  </r>
  <r>
    <x v="34"/>
    <x v="1"/>
    <n v="111"/>
    <n v="27"/>
    <n v="0.24"/>
    <n v="0"/>
    <n v="0"/>
    <n v="8"/>
    <n v="0.3"/>
    <n v="0"/>
    <n v="0"/>
    <n v="-8"/>
    <x v="5"/>
  </r>
  <r>
    <x v="31"/>
    <x v="1"/>
    <n v="50"/>
    <n v="13"/>
    <n v="0.26"/>
    <n v="3"/>
    <n v="0.13"/>
    <n v="6"/>
    <n v="0.53"/>
    <n v="41"/>
    <n v="822.51"/>
    <n v="35.131999999999998"/>
    <x v="5"/>
  </r>
  <r>
    <x v="27"/>
    <x v="1"/>
    <n v="67"/>
    <n v="8"/>
    <n v="0.12"/>
    <n v="1"/>
    <n v="7.0000000000000007E-2"/>
    <n v="6"/>
    <n v="0.81"/>
    <n v="0"/>
    <n v="5.96"/>
    <n v="-5.702"/>
    <x v="4"/>
  </r>
  <r>
    <x v="24"/>
    <x v="1"/>
    <n v="35"/>
    <n v="3"/>
    <n v="0.09"/>
    <n v="0"/>
    <n v="0"/>
    <n v="1"/>
    <n v="0.62"/>
    <n v="0"/>
    <n v="0"/>
    <n v="-1"/>
    <x v="4"/>
  </r>
  <r>
    <x v="6"/>
    <x v="2"/>
    <n v="90806"/>
    <n v="40622"/>
    <n v="0.45"/>
    <n v="1421"/>
    <n v="0.03"/>
    <n v="10904"/>
    <n v="0.27"/>
    <n v="7891"/>
    <n v="170418.87"/>
    <n v="-3012.91"/>
    <x v="1"/>
  </r>
  <r>
    <x v="8"/>
    <x v="2"/>
    <n v="32462"/>
    <n v="14427"/>
    <n v="0.44"/>
    <n v="1510"/>
    <n v="0.06"/>
    <n v="9562"/>
    <n v="0.66"/>
    <n v="8838"/>
    <n v="196210.87"/>
    <n v="-724.15300000000002"/>
    <x v="1"/>
  </r>
  <r>
    <x v="3"/>
    <x v="2"/>
    <n v="15673"/>
    <n v="6199"/>
    <n v="0.4"/>
    <n v="1242"/>
    <n v="0.11"/>
    <n v="9163"/>
    <n v="1.48"/>
    <n v="7264"/>
    <n v="158674.1"/>
    <n v="-1899.421"/>
    <x v="0"/>
  </r>
  <r>
    <x v="1"/>
    <x v="2"/>
    <n v="20879"/>
    <n v="8135"/>
    <n v="0.39"/>
    <n v="1034"/>
    <n v="7.0000000000000007E-2"/>
    <n v="8069"/>
    <n v="0.99"/>
    <n v="6153"/>
    <n v="132508.12"/>
    <n v="-1915.53"/>
    <x v="0"/>
  </r>
  <r>
    <x v="5"/>
    <x v="2"/>
    <n v="26710"/>
    <n v="11918"/>
    <n v="0.45"/>
    <n v="921"/>
    <n v="0.05"/>
    <n v="6628"/>
    <n v="0.56000000000000005"/>
    <n v="5604"/>
    <n v="124194.91"/>
    <n v="-1023.587"/>
    <x v="1"/>
  </r>
  <r>
    <x v="0"/>
    <x v="2"/>
    <n v="9759"/>
    <n v="3904"/>
    <n v="0.4"/>
    <n v="593"/>
    <n v="0.08"/>
    <n v="4949"/>
    <n v="1.27"/>
    <n v="3973"/>
    <n v="87840.47"/>
    <n v="-975.67600000000004"/>
    <x v="0"/>
  </r>
  <r>
    <x v="15"/>
    <x v="2"/>
    <n v="5480"/>
    <n v="2003"/>
    <n v="0.37"/>
    <n v="371"/>
    <n v="0.1"/>
    <n v="2984"/>
    <n v="1.49"/>
    <n v="3013"/>
    <n v="73096.84"/>
    <n v="29.100999999999999"/>
    <x v="2"/>
  </r>
  <r>
    <x v="22"/>
    <x v="2"/>
    <n v="10938"/>
    <n v="4247"/>
    <n v="0.39"/>
    <n v="343"/>
    <n v="0.05"/>
    <n v="2486"/>
    <n v="0.59"/>
    <n v="2410"/>
    <n v="57157.19"/>
    <n v="-76.263000000000005"/>
    <x v="3"/>
  </r>
  <r>
    <x v="18"/>
    <x v="2"/>
    <n v="16362"/>
    <n v="5876"/>
    <n v="0.36"/>
    <n v="302"/>
    <n v="0.04"/>
    <n v="2199"/>
    <n v="0.37"/>
    <n v="1970"/>
    <n v="44401.87"/>
    <n v="-229.33600000000001"/>
    <x v="3"/>
  </r>
  <r>
    <x v="11"/>
    <x v="2"/>
    <n v="5304"/>
    <n v="1702"/>
    <n v="0.32"/>
    <n v="216"/>
    <n v="7.0000000000000007E-2"/>
    <n v="1912"/>
    <n v="1.1200000000000001"/>
    <n v="1451"/>
    <n v="34236.93"/>
    <n v="-461.19799999999998"/>
    <x v="2"/>
  </r>
  <r>
    <x v="29"/>
    <x v="2"/>
    <n v="3939"/>
    <n v="1321"/>
    <n v="0.34"/>
    <n v="205"/>
    <n v="0.09"/>
    <n v="1845"/>
    <n v="1.4"/>
    <n v="1678"/>
    <n v="40606.65"/>
    <n v="-166.708"/>
    <x v="4"/>
  </r>
  <r>
    <x v="25"/>
    <x v="2"/>
    <n v="3255"/>
    <n v="1077"/>
    <n v="0.33"/>
    <n v="166"/>
    <n v="0.08"/>
    <n v="1413"/>
    <n v="1.31"/>
    <n v="1391"/>
    <n v="35526.39"/>
    <n v="-22.431999999999999"/>
    <x v="4"/>
  </r>
  <r>
    <x v="7"/>
    <x v="2"/>
    <n v="5471"/>
    <n v="2169"/>
    <n v="0.4"/>
    <n v="170"/>
    <n v="0.05"/>
    <n v="1302"/>
    <n v="0.6"/>
    <n v="1153"/>
    <n v="25744.04"/>
    <n v="-149.24299999999999"/>
    <x v="1"/>
  </r>
  <r>
    <x v="2"/>
    <x v="2"/>
    <n v="2163"/>
    <n v="866"/>
    <n v="0.4"/>
    <n v="139"/>
    <n v="0.08"/>
    <n v="1165"/>
    <n v="1.35"/>
    <n v="1073"/>
    <n v="24921.42"/>
    <n v="-92.088999999999999"/>
    <x v="0"/>
  </r>
  <r>
    <x v="32"/>
    <x v="2"/>
    <n v="6231"/>
    <n v="2152"/>
    <n v="0.35"/>
    <n v="143"/>
    <n v="0.04"/>
    <n v="1096"/>
    <n v="0.51"/>
    <n v="947"/>
    <n v="20744.22"/>
    <n v="-149.26900000000001"/>
    <x v="5"/>
  </r>
  <r>
    <x v="36"/>
    <x v="2"/>
    <n v="4655"/>
    <n v="1583"/>
    <n v="0.34"/>
    <n v="110"/>
    <n v="0.05"/>
    <n v="826"/>
    <n v="0.52"/>
    <n v="753"/>
    <n v="16455.919999999998"/>
    <n v="-72.811999999999998"/>
    <x v="5"/>
  </r>
  <r>
    <x v="16"/>
    <x v="2"/>
    <n v="9989"/>
    <n v="1176"/>
    <n v="0.12"/>
    <n v="43"/>
    <n v="0.05"/>
    <n v="574"/>
    <n v="0.49"/>
    <n v="249"/>
    <n v="4979.4399999999996"/>
    <n v="-325.00700000000001"/>
    <x v="2"/>
  </r>
  <r>
    <x v="28"/>
    <x v="2"/>
    <n v="1498"/>
    <n v="377"/>
    <n v="0.25"/>
    <n v="55"/>
    <n v="0.09"/>
    <n v="546"/>
    <n v="1.45"/>
    <n v="303"/>
    <n v="6071.61"/>
    <n v="-242.84"/>
    <x v="4"/>
  </r>
  <r>
    <x v="19"/>
    <x v="2"/>
    <n v="4224"/>
    <n v="1181"/>
    <n v="0.28000000000000003"/>
    <n v="54"/>
    <n v="0.03"/>
    <n v="519"/>
    <n v="0.44"/>
    <n v="327"/>
    <n v="6664.23"/>
    <n v="-192.35400000000001"/>
    <x v="3"/>
  </r>
  <r>
    <x v="12"/>
    <x v="2"/>
    <n v="1650"/>
    <n v="432"/>
    <n v="0.26"/>
    <n v="48"/>
    <n v="0.06"/>
    <n v="457"/>
    <n v="1.06"/>
    <n v="406"/>
    <n v="9718.82"/>
    <n v="-50.676000000000002"/>
    <x v="2"/>
  </r>
  <r>
    <x v="30"/>
    <x v="2"/>
    <n v="6314"/>
    <n v="526"/>
    <n v="0.08"/>
    <n v="26"/>
    <n v="0.06"/>
    <n v="400"/>
    <n v="0.76"/>
    <n v="157"/>
    <n v="3144.2"/>
    <n v="-242.77600000000001"/>
    <x v="4"/>
  </r>
  <r>
    <x v="35"/>
    <x v="2"/>
    <n v="2018"/>
    <n v="621"/>
    <n v="0.31"/>
    <n v="45"/>
    <n v="0.05"/>
    <n v="373"/>
    <n v="0.6"/>
    <n v="308"/>
    <n v="6807.69"/>
    <n v="-65.171999999999997"/>
    <x v="5"/>
  </r>
  <r>
    <x v="4"/>
    <x v="2"/>
    <n v="548"/>
    <n v="200"/>
    <n v="0.36"/>
    <n v="39"/>
    <n v="0.11"/>
    <n v="279"/>
    <n v="1.4"/>
    <n v="251"/>
    <n v="5241.8100000000004"/>
    <n v="-28.119"/>
    <x v="0"/>
  </r>
  <r>
    <x v="9"/>
    <x v="2"/>
    <n v="1255"/>
    <n v="439"/>
    <n v="0.35"/>
    <n v="38"/>
    <n v="0.06"/>
    <n v="272"/>
    <n v="0.62"/>
    <n v="207"/>
    <n v="4232.7"/>
    <n v="-64.594999999999999"/>
    <x v="1"/>
  </r>
  <r>
    <x v="14"/>
    <x v="2"/>
    <n v="628"/>
    <n v="148"/>
    <n v="0.24"/>
    <n v="21"/>
    <n v="0.09"/>
    <n v="240"/>
    <n v="1.62"/>
    <n v="202"/>
    <n v="4050.38"/>
    <n v="-37.972999999999999"/>
    <x v="2"/>
  </r>
  <r>
    <x v="21"/>
    <x v="2"/>
    <n v="1288"/>
    <n v="340"/>
    <n v="0.26"/>
    <n v="20"/>
    <n v="0.04"/>
    <n v="239"/>
    <n v="0.7"/>
    <n v="143"/>
    <n v="2960.84"/>
    <n v="-96.195999999999998"/>
    <x v="3"/>
  </r>
  <r>
    <x v="37"/>
    <x v="2"/>
    <n v="6444"/>
    <n v="593"/>
    <n v="0.09"/>
    <n v="27"/>
    <n v="0.05"/>
    <n v="231"/>
    <n v="0.39"/>
    <n v="221"/>
    <n v="5500.5"/>
    <n v="-9.5190000000000001"/>
    <x v="5"/>
  </r>
  <r>
    <x v="33"/>
    <x v="2"/>
    <n v="1848"/>
    <n v="447"/>
    <n v="0.24"/>
    <n v="28"/>
    <n v="0.05"/>
    <n v="217"/>
    <n v="0.49"/>
    <n v="179"/>
    <n v="3765.3"/>
    <n v="-38.448"/>
    <x v="5"/>
  </r>
  <r>
    <x v="23"/>
    <x v="2"/>
    <n v="8902"/>
    <n v="661"/>
    <n v="7.0000000000000007E-2"/>
    <n v="25"/>
    <n v="0.04"/>
    <n v="216"/>
    <n v="0.33"/>
    <n v="173"/>
    <n v="4259.42"/>
    <n v="-42.99"/>
    <x v="3"/>
  </r>
  <r>
    <x v="17"/>
    <x v="2"/>
    <n v="1077"/>
    <n v="368"/>
    <n v="0.34"/>
    <n v="14"/>
    <n v="0.03"/>
    <n v="164"/>
    <n v="0.45"/>
    <n v="67"/>
    <n v="1430.86"/>
    <n v="-96.951999999999998"/>
    <x v="3"/>
  </r>
  <r>
    <x v="26"/>
    <x v="2"/>
    <n v="810"/>
    <n v="123"/>
    <n v="0.15"/>
    <n v="17"/>
    <n v="0.09"/>
    <n v="134"/>
    <n v="1.0900000000000001"/>
    <n v="121"/>
    <n v="2514.88"/>
    <n v="-12.744"/>
    <x v="4"/>
  </r>
  <r>
    <x v="10"/>
    <x v="2"/>
    <n v="514"/>
    <n v="123"/>
    <n v="0.24"/>
    <n v="16"/>
    <n v="0.1"/>
    <n v="130"/>
    <n v="1.06"/>
    <n v="110"/>
    <n v="2197.0500000000002"/>
    <n v="-20.138999999999999"/>
    <x v="2"/>
  </r>
  <r>
    <x v="13"/>
    <x v="2"/>
    <n v="499"/>
    <n v="116"/>
    <n v="0.23"/>
    <n v="14"/>
    <n v="0.11"/>
    <n v="52"/>
    <n v="0.45"/>
    <n v="74"/>
    <n v="2728.4"/>
    <n v="21.998000000000001"/>
    <x v="2"/>
  </r>
  <r>
    <x v="20"/>
    <x v="2"/>
    <n v="560"/>
    <n v="178"/>
    <n v="0.32"/>
    <n v="7"/>
    <n v="0.05"/>
    <n v="39"/>
    <n v="0.22"/>
    <n v="12"/>
    <n v="235.27"/>
    <n v="-27.233000000000001"/>
    <x v="3"/>
  </r>
  <r>
    <x v="34"/>
    <x v="2"/>
    <n v="98"/>
    <n v="22"/>
    <n v="0.22"/>
    <n v="0"/>
    <n v="0"/>
    <n v="6"/>
    <n v="0.28999999999999998"/>
    <n v="0"/>
    <n v="0"/>
    <n v="-6"/>
    <x v="5"/>
  </r>
  <r>
    <x v="31"/>
    <x v="2"/>
    <n v="54"/>
    <n v="9"/>
    <n v="0.17"/>
    <n v="1"/>
    <n v="0.11"/>
    <n v="4"/>
    <n v="0.45"/>
    <n v="1"/>
    <n v="28.93"/>
    <n v="-2.5529999999999999"/>
    <x v="5"/>
  </r>
  <r>
    <x v="27"/>
    <x v="2"/>
    <n v="52"/>
    <n v="4"/>
    <n v="0.08"/>
    <n v="1"/>
    <n v="0.5"/>
    <n v="1"/>
    <n v="0.43"/>
    <n v="20"/>
    <n v="678"/>
    <n v="19.34"/>
    <x v="4"/>
  </r>
  <r>
    <x v="24"/>
    <x v="2"/>
    <n v="38"/>
    <n v="2"/>
    <n v="0.05"/>
    <n v="0"/>
    <n v="0"/>
    <n v="1"/>
    <n v="0.56999999999999995"/>
    <n v="0"/>
    <n v="0"/>
    <n v="-1"/>
    <x v="4"/>
  </r>
  <r>
    <x v="6"/>
    <x v="3"/>
    <n v="93406"/>
    <n v="36068"/>
    <n v="0.39"/>
    <n v="2444"/>
    <n v="0.05"/>
    <n v="12236"/>
    <n v="0.34"/>
    <n v="13744"/>
    <n v="285638.3"/>
    <n v="1507.6849999999999"/>
    <x v="1"/>
  </r>
  <r>
    <x v="8"/>
    <x v="3"/>
    <n v="34929"/>
    <n v="15595"/>
    <n v="0.45"/>
    <n v="2193"/>
    <n v="0.09"/>
    <n v="11258"/>
    <n v="0.72"/>
    <n v="12025"/>
    <n v="252296.27"/>
    <n v="766.85900000000004"/>
    <x v="1"/>
  </r>
  <r>
    <x v="3"/>
    <x v="3"/>
    <n v="16953"/>
    <n v="6484"/>
    <n v="0.38"/>
    <n v="1499"/>
    <n v="0.12"/>
    <n v="10080"/>
    <n v="1.55"/>
    <n v="9553"/>
    <n v="210096.13"/>
    <n v="-527.24900000000002"/>
    <x v="0"/>
  </r>
  <r>
    <x v="1"/>
    <x v="3"/>
    <n v="24598"/>
    <n v="8693"/>
    <n v="0.35"/>
    <n v="1421"/>
    <n v="0.09"/>
    <n v="9461"/>
    <n v="1.0900000000000001"/>
    <n v="8186"/>
    <n v="171724.63"/>
    <n v="-1274.7470000000001"/>
    <x v="0"/>
  </r>
  <r>
    <x v="5"/>
    <x v="3"/>
    <n v="28102"/>
    <n v="12485"/>
    <n v="0.44"/>
    <n v="1393"/>
    <n v="7.0000000000000007E-2"/>
    <n v="7192"/>
    <n v="0.57999999999999996"/>
    <n v="7955"/>
    <n v="166656.04999999999"/>
    <n v="762.92100000000005"/>
    <x v="1"/>
  </r>
  <r>
    <x v="0"/>
    <x v="3"/>
    <n v="10826"/>
    <n v="4021"/>
    <n v="0.37"/>
    <n v="725"/>
    <n v="0.1"/>
    <n v="4812"/>
    <n v="1.2"/>
    <n v="4627"/>
    <n v="96617"/>
    <n v="-184.857"/>
    <x v="0"/>
  </r>
  <r>
    <x v="22"/>
    <x v="3"/>
    <n v="13525"/>
    <n v="5656"/>
    <n v="0.42"/>
    <n v="621"/>
    <n v="7.0000000000000007E-2"/>
    <n v="3435"/>
    <n v="0.61"/>
    <n v="3487"/>
    <n v="74522.539999999994"/>
    <n v="51.685000000000002"/>
    <x v="3"/>
  </r>
  <r>
    <x v="15"/>
    <x v="3"/>
    <n v="6254"/>
    <n v="2064"/>
    <n v="0.33"/>
    <n v="456"/>
    <n v="0.12"/>
    <n v="3012"/>
    <n v="1.46"/>
    <n v="3180"/>
    <n v="69872.95"/>
    <n v="168.37299999999999"/>
    <x v="2"/>
  </r>
  <r>
    <x v="29"/>
    <x v="3"/>
    <n v="6908"/>
    <n v="1874"/>
    <n v="0.27"/>
    <n v="337"/>
    <n v="0.1"/>
    <n v="2325"/>
    <n v="1.24"/>
    <n v="2329"/>
    <n v="49148.43"/>
    <n v="4.0659999999999998"/>
    <x v="4"/>
  </r>
  <r>
    <x v="18"/>
    <x v="3"/>
    <n v="15769"/>
    <n v="6046"/>
    <n v="0.38"/>
    <n v="440"/>
    <n v="0.05"/>
    <n v="2318"/>
    <n v="0.38"/>
    <n v="2655"/>
    <n v="55815.23"/>
    <n v="337.125"/>
    <x v="3"/>
  </r>
  <r>
    <x v="11"/>
    <x v="3"/>
    <n v="5044"/>
    <n v="1555"/>
    <n v="0.31"/>
    <n v="267"/>
    <n v="0.1"/>
    <n v="1734"/>
    <n v="1.1200000000000001"/>
    <n v="1654"/>
    <n v="34980.160000000003"/>
    <n v="-79.594999999999999"/>
    <x v="2"/>
  </r>
  <r>
    <x v="7"/>
    <x v="3"/>
    <n v="5789"/>
    <n v="2510"/>
    <n v="0.43"/>
    <n v="269"/>
    <n v="7.0000000000000007E-2"/>
    <n v="1546"/>
    <n v="0.62"/>
    <n v="1889"/>
    <n v="40122.76"/>
    <n v="342.97899999999998"/>
    <x v="1"/>
  </r>
  <r>
    <x v="36"/>
    <x v="3"/>
    <n v="9619"/>
    <n v="2908"/>
    <n v="0.3"/>
    <n v="199"/>
    <n v="0.05"/>
    <n v="1476"/>
    <n v="0.51"/>
    <n v="1211"/>
    <n v="25311.15"/>
    <n v="-265.42399999999998"/>
    <x v="5"/>
  </r>
  <r>
    <x v="2"/>
    <x v="3"/>
    <n v="2336"/>
    <n v="855"/>
    <n v="0.37"/>
    <n v="173"/>
    <n v="0.1"/>
    <n v="1081"/>
    <n v="1.27"/>
    <n v="1179"/>
    <n v="25104.240000000002"/>
    <n v="97.763999999999996"/>
    <x v="0"/>
  </r>
  <r>
    <x v="19"/>
    <x v="3"/>
    <n v="4715"/>
    <n v="1397"/>
    <n v="0.3"/>
    <n v="93"/>
    <n v="0.05"/>
    <n v="615"/>
    <n v="0.44"/>
    <n v="587"/>
    <n v="12245.37"/>
    <n v="-27.853999999999999"/>
    <x v="3"/>
  </r>
  <r>
    <x v="28"/>
    <x v="3"/>
    <n v="2065"/>
    <n v="427"/>
    <n v="0.21"/>
    <n v="73"/>
    <n v="0.11"/>
    <n v="499"/>
    <n v="1.17"/>
    <n v="472"/>
    <n v="9859.2000000000007"/>
    <n v="-27.457000000000001"/>
    <x v="4"/>
  </r>
  <r>
    <x v="12"/>
    <x v="3"/>
    <n v="1770"/>
    <n v="412"/>
    <n v="0.23"/>
    <n v="79"/>
    <n v="0.11"/>
    <n v="488"/>
    <n v="1.19"/>
    <n v="481"/>
    <n v="11375.79"/>
    <n v="-7.2549999999999999"/>
    <x v="2"/>
  </r>
  <r>
    <x v="35"/>
    <x v="3"/>
    <n v="3279"/>
    <n v="952"/>
    <n v="0.28999999999999998"/>
    <n v="61"/>
    <n v="0.06"/>
    <n v="468"/>
    <n v="0.49"/>
    <n v="423"/>
    <n v="8585.4699999999993"/>
    <n v="-45.085000000000001"/>
    <x v="5"/>
  </r>
  <r>
    <x v="16"/>
    <x v="3"/>
    <n v="7385"/>
    <n v="756"/>
    <n v="0.1"/>
    <n v="37"/>
    <n v="7.0000000000000007E-2"/>
    <n v="447"/>
    <n v="0.59"/>
    <n v="198"/>
    <n v="3967.4"/>
    <n v="-248.60499999999999"/>
    <x v="2"/>
  </r>
  <r>
    <x v="4"/>
    <x v="3"/>
    <n v="965"/>
    <n v="280"/>
    <n v="0.28999999999999998"/>
    <n v="59"/>
    <n v="0.12"/>
    <n v="422"/>
    <n v="1.51"/>
    <n v="446"/>
    <n v="9021.68"/>
    <n v="24.122"/>
    <x v="0"/>
  </r>
  <r>
    <x v="32"/>
    <x v="3"/>
    <n v="2524"/>
    <n v="819"/>
    <n v="0.32"/>
    <n v="82"/>
    <n v="7.0000000000000007E-2"/>
    <n v="418"/>
    <n v="0.51"/>
    <n v="535"/>
    <n v="10694.68"/>
    <n v="116.783"/>
    <x v="5"/>
  </r>
  <r>
    <x v="9"/>
    <x v="3"/>
    <n v="1706"/>
    <n v="676"/>
    <n v="0.4"/>
    <n v="72"/>
    <n v="7.0000000000000007E-2"/>
    <n v="412"/>
    <n v="0.61"/>
    <n v="372"/>
    <n v="7875.81"/>
    <n v="-40.219000000000001"/>
    <x v="1"/>
  </r>
  <r>
    <x v="25"/>
    <x v="3"/>
    <n v="1398"/>
    <n v="361"/>
    <n v="0.26"/>
    <n v="58"/>
    <n v="0.09"/>
    <n v="407"/>
    <n v="1.1299999999999999"/>
    <n v="340"/>
    <n v="7222.9"/>
    <n v="-66.819999999999993"/>
    <x v="4"/>
  </r>
  <r>
    <x v="33"/>
    <x v="3"/>
    <n v="3223"/>
    <n v="752"/>
    <n v="0.23"/>
    <n v="43"/>
    <n v="0.05"/>
    <n v="316"/>
    <n v="0.42"/>
    <n v="498"/>
    <n v="10932.34"/>
    <n v="181.59700000000001"/>
    <x v="5"/>
  </r>
  <r>
    <x v="21"/>
    <x v="3"/>
    <n v="1408"/>
    <n v="463"/>
    <n v="0.33"/>
    <n v="42"/>
    <n v="7.0000000000000007E-2"/>
    <n v="290"/>
    <n v="0.63"/>
    <n v="295"/>
    <n v="6331.84"/>
    <n v="5.2530000000000001"/>
    <x v="3"/>
  </r>
  <r>
    <x v="14"/>
    <x v="3"/>
    <n v="649"/>
    <n v="151"/>
    <n v="0.23"/>
    <n v="25"/>
    <n v="0.12"/>
    <n v="282"/>
    <n v="1.87"/>
    <n v="165"/>
    <n v="3293.63"/>
    <n v="-117.279"/>
    <x v="2"/>
  </r>
  <r>
    <x v="23"/>
    <x v="3"/>
    <n v="8454"/>
    <n v="726"/>
    <n v="0.09"/>
    <n v="26"/>
    <n v="0.04"/>
    <n v="277"/>
    <n v="0.38"/>
    <n v="115"/>
    <n v="2300.7199999999998"/>
    <n v="-161.95099999999999"/>
    <x v="3"/>
  </r>
  <r>
    <x v="37"/>
    <x v="3"/>
    <n v="4894"/>
    <n v="551"/>
    <n v="0.11"/>
    <n v="24"/>
    <n v="0.05"/>
    <n v="226"/>
    <n v="0.41"/>
    <n v="122"/>
    <n v="2612.6799999999998"/>
    <n v="-104.006"/>
    <x v="5"/>
  </r>
  <r>
    <x v="26"/>
    <x v="3"/>
    <n v="1074"/>
    <n v="190"/>
    <n v="0.18"/>
    <n v="22"/>
    <n v="7.0000000000000007E-2"/>
    <n v="190"/>
    <n v="1.01"/>
    <n v="184"/>
    <n v="4345.1499999999996"/>
    <n v="-6.2869999999999999"/>
    <x v="4"/>
  </r>
  <r>
    <x v="30"/>
    <x v="3"/>
    <n v="3023"/>
    <n v="228"/>
    <n v="0.08"/>
    <n v="14"/>
    <n v="0.06"/>
    <n v="172"/>
    <n v="0.76"/>
    <n v="108"/>
    <n v="2152.46"/>
    <n v="-64.370999999999995"/>
    <x v="4"/>
  </r>
  <r>
    <x v="17"/>
    <x v="3"/>
    <n v="1000"/>
    <n v="321"/>
    <n v="0.32"/>
    <n v="23"/>
    <n v="0.06"/>
    <n v="154"/>
    <n v="0.48"/>
    <n v="136"/>
    <n v="2793.15"/>
    <n v="-17.826000000000001"/>
    <x v="3"/>
  </r>
  <r>
    <x v="10"/>
    <x v="3"/>
    <n v="451"/>
    <n v="93"/>
    <n v="0.21"/>
    <n v="11"/>
    <n v="7.0000000000000007E-2"/>
    <n v="111"/>
    <n v="1.2"/>
    <n v="81"/>
    <n v="1626.05"/>
    <n v="-29.693999999999999"/>
    <x v="2"/>
  </r>
  <r>
    <x v="20"/>
    <x v="3"/>
    <n v="709"/>
    <n v="208"/>
    <n v="0.28999999999999998"/>
    <n v="12"/>
    <n v="0.08"/>
    <n v="45"/>
    <n v="0.22"/>
    <n v="14"/>
    <n v="309.08999999999997"/>
    <n v="-30.542000000000002"/>
    <x v="3"/>
  </r>
  <r>
    <x v="13"/>
    <x v="3"/>
    <n v="457"/>
    <n v="99"/>
    <n v="0.22"/>
    <n v="13"/>
    <n v="0.14000000000000001"/>
    <n v="35"/>
    <n v="0.36"/>
    <n v="23"/>
    <n v="469.67"/>
    <n v="-11.512"/>
    <x v="2"/>
  </r>
  <r>
    <x v="31"/>
    <x v="3"/>
    <n v="44"/>
    <n v="12"/>
    <n v="0.27"/>
    <n v="2"/>
    <n v="0.13"/>
    <n v="8"/>
    <n v="0.67"/>
    <n v="22"/>
    <n v="431.41"/>
    <n v="13.574"/>
    <x v="5"/>
  </r>
  <r>
    <x v="27"/>
    <x v="3"/>
    <n v="72"/>
    <n v="9"/>
    <n v="0.13"/>
    <n v="1"/>
    <n v="0.14000000000000001"/>
    <n v="5"/>
    <n v="0.56999999999999995"/>
    <n v="8"/>
    <n v="157.97"/>
    <n v="2.9"/>
    <x v="4"/>
  </r>
  <r>
    <x v="34"/>
    <x v="3"/>
    <n v="100"/>
    <n v="14"/>
    <n v="0.14000000000000001"/>
    <n v="3"/>
    <n v="0.21"/>
    <n v="3"/>
    <n v="0.26"/>
    <n v="4"/>
    <n v="83.2"/>
    <n v="1.161"/>
    <x v="5"/>
  </r>
  <r>
    <x v="6"/>
    <x v="4"/>
    <n v="276568"/>
    <n v="99526"/>
    <n v="0.36"/>
    <n v="5961"/>
    <n v="0.05"/>
    <n v="38273"/>
    <n v="0.38"/>
    <n v="32668"/>
    <n v="677188.1"/>
    <n v="-5605.2969999999996"/>
    <x v="1"/>
  </r>
  <r>
    <x v="1"/>
    <x v="4"/>
    <n v="73448"/>
    <n v="25283"/>
    <n v="0.34"/>
    <n v="4080"/>
    <n v="0.1"/>
    <n v="27336"/>
    <n v="1.08"/>
    <n v="23857"/>
    <n v="497790.81"/>
    <n v="-3478.6439999999998"/>
    <x v="0"/>
  </r>
  <r>
    <x v="3"/>
    <x v="4"/>
    <n v="64067"/>
    <n v="23538"/>
    <n v="0.37"/>
    <n v="5782"/>
    <n v="0.15"/>
    <n v="37729"/>
    <n v="1.6"/>
    <n v="34518"/>
    <n v="725773.92"/>
    <n v="-3211.1210000000001"/>
    <x v="0"/>
  </r>
  <r>
    <x v="23"/>
    <x v="4"/>
    <n v="15422"/>
    <n v="2078"/>
    <n v="0.13"/>
    <n v="62"/>
    <n v="0.03"/>
    <n v="2597"/>
    <n v="1.25"/>
    <n v="427"/>
    <n v="8733.41"/>
    <n v="-2170.0439999999999"/>
    <x v="3"/>
  </r>
  <r>
    <x v="0"/>
    <x v="4"/>
    <n v="38523"/>
    <n v="14393"/>
    <n v="0.37"/>
    <n v="2713"/>
    <n v="0.12"/>
    <n v="18641"/>
    <n v="1.3"/>
    <n v="16555"/>
    <n v="345891.36"/>
    <n v="-2086.3000000000002"/>
    <x v="0"/>
  </r>
  <r>
    <x v="35"/>
    <x v="4"/>
    <n v="31793"/>
    <n v="7159"/>
    <n v="0.23"/>
    <n v="532"/>
    <n v="0.08"/>
    <n v="5075"/>
    <n v="0.71"/>
    <n v="3260"/>
    <n v="66443.240000000005"/>
    <n v="-1814.5619999999999"/>
    <x v="5"/>
  </r>
  <r>
    <x v="36"/>
    <x v="4"/>
    <n v="50422"/>
    <n v="10147"/>
    <n v="0.2"/>
    <n v="773"/>
    <n v="0.06"/>
    <n v="5764"/>
    <n v="0.56999999999999995"/>
    <n v="4472"/>
    <n v="92805.77"/>
    <n v="-1291.9079999999999"/>
    <x v="5"/>
  </r>
  <r>
    <x v="18"/>
    <x v="4"/>
    <n v="54501"/>
    <n v="19058"/>
    <n v="0.35"/>
    <n v="1345"/>
    <n v="0.05"/>
    <n v="9302"/>
    <n v="0.49"/>
    <n v="8134"/>
    <n v="171895.9"/>
    <n v="-1168.009"/>
    <x v="3"/>
  </r>
  <r>
    <x v="8"/>
    <x v="4"/>
    <n v="138811"/>
    <n v="57405"/>
    <n v="0.41"/>
    <n v="7563"/>
    <n v="0.1"/>
    <n v="43542"/>
    <n v="0.76"/>
    <n v="42440"/>
    <n v="886095.31"/>
    <n v="-1101.8989999999999"/>
    <x v="1"/>
  </r>
  <r>
    <x v="33"/>
    <x v="4"/>
    <n v="24726"/>
    <n v="5216"/>
    <n v="0.21"/>
    <n v="277"/>
    <n v="0.05"/>
    <n v="2916"/>
    <n v="0.56000000000000005"/>
    <n v="1981"/>
    <n v="42318.64"/>
    <n v="-935.29499999999996"/>
    <x v="5"/>
  </r>
  <r>
    <x v="19"/>
    <x v="4"/>
    <n v="20699"/>
    <n v="5540"/>
    <n v="0.27"/>
    <n v="320"/>
    <n v="0.05"/>
    <n v="2893"/>
    <n v="0.52"/>
    <n v="2003"/>
    <n v="44985.83"/>
    <n v="-890.16399999999999"/>
    <x v="3"/>
  </r>
  <r>
    <x v="7"/>
    <x v="4"/>
    <n v="18275"/>
    <n v="8012"/>
    <n v="0.44"/>
    <n v="808"/>
    <n v="7.0000000000000007E-2"/>
    <n v="5651"/>
    <n v="0.71"/>
    <n v="4773"/>
    <n v="99420.38"/>
    <n v="-877.98599999999999"/>
    <x v="1"/>
  </r>
  <r>
    <x v="16"/>
    <x v="4"/>
    <n v="19335"/>
    <n v="1689"/>
    <n v="0.09"/>
    <n v="85"/>
    <n v="0.06"/>
    <n v="1118"/>
    <n v="0.66"/>
    <n v="422"/>
    <n v="8962.23"/>
    <n v="-696.15200000000004"/>
    <x v="2"/>
  </r>
  <r>
    <x v="29"/>
    <x v="4"/>
    <n v="39649"/>
    <n v="8281"/>
    <n v="0.21"/>
    <n v="1640"/>
    <n v="0.13"/>
    <n v="10823"/>
    <n v="1.31"/>
    <n v="10223"/>
    <n v="215898.79"/>
    <n v="-600.45600000000002"/>
    <x v="4"/>
  </r>
  <r>
    <x v="28"/>
    <x v="4"/>
    <n v="12209"/>
    <n v="1663"/>
    <n v="0.14000000000000001"/>
    <n v="182"/>
    <n v="0.1"/>
    <n v="1600"/>
    <n v="0.96"/>
    <n v="1164"/>
    <n v="25635.15"/>
    <n v="-435.96699999999998"/>
    <x v="4"/>
  </r>
  <r>
    <x v="37"/>
    <x v="4"/>
    <n v="13056"/>
    <n v="927"/>
    <n v="7.0000000000000007E-2"/>
    <n v="20"/>
    <n v="0.03"/>
    <n v="376"/>
    <n v="0.41"/>
    <n v="76"/>
    <n v="1518.51"/>
    <n v="-300.06599999999997"/>
    <x v="5"/>
  </r>
  <r>
    <x v="32"/>
    <x v="4"/>
    <n v="6765"/>
    <n v="1844"/>
    <n v="0.27"/>
    <n v="88"/>
    <n v="0.04"/>
    <n v="861"/>
    <n v="0.47"/>
    <n v="573"/>
    <n v="13341.64"/>
    <n v="-288.08499999999998"/>
    <x v="5"/>
  </r>
  <r>
    <x v="26"/>
    <x v="4"/>
    <n v="6200"/>
    <n v="975"/>
    <n v="0.16"/>
    <n v="108"/>
    <n v="0.08"/>
    <n v="1102"/>
    <n v="1.1299999999999999"/>
    <n v="844"/>
    <n v="19822.400000000001"/>
    <n v="-257.63799999999998"/>
    <x v="4"/>
  </r>
  <r>
    <x v="12"/>
    <x v="4"/>
    <n v="7365"/>
    <n v="1348"/>
    <n v="0.18"/>
    <n v="164"/>
    <n v="0.09"/>
    <n v="1315"/>
    <n v="0.98"/>
    <n v="1061"/>
    <n v="22711.98"/>
    <n v="-253.80099999999999"/>
    <x v="2"/>
  </r>
  <r>
    <x v="25"/>
    <x v="4"/>
    <n v="7475"/>
    <n v="1977"/>
    <n v="0.26"/>
    <n v="382"/>
    <n v="0.12"/>
    <n v="2616"/>
    <n v="1.32"/>
    <n v="2368"/>
    <n v="50293.23"/>
    <n v="-248.203"/>
    <x v="4"/>
  </r>
  <r>
    <x v="30"/>
    <x v="4"/>
    <n v="10262"/>
    <n v="667"/>
    <n v="0.06"/>
    <n v="30"/>
    <n v="0.05"/>
    <n v="386"/>
    <n v="0.57999999999999996"/>
    <n v="165"/>
    <n v="3302.8"/>
    <n v="-220.84200000000001"/>
    <x v="4"/>
  </r>
  <r>
    <x v="17"/>
    <x v="4"/>
    <n v="3155"/>
    <n v="871"/>
    <n v="0.28000000000000003"/>
    <n v="54"/>
    <n v="0.06"/>
    <n v="402"/>
    <n v="0.46"/>
    <n v="268"/>
    <n v="6622.27"/>
    <n v="-134.48400000000001"/>
    <x v="3"/>
  </r>
  <r>
    <x v="4"/>
    <x v="4"/>
    <n v="2506"/>
    <n v="708"/>
    <n v="0.28000000000000003"/>
    <n v="137"/>
    <n v="0.12"/>
    <n v="1039"/>
    <n v="1.47"/>
    <n v="910"/>
    <n v="19932.689999999999"/>
    <n v="-129.125"/>
    <x v="0"/>
  </r>
  <r>
    <x v="10"/>
    <x v="4"/>
    <n v="1692"/>
    <n v="341"/>
    <n v="0.2"/>
    <n v="43"/>
    <n v="0.09"/>
    <n v="342"/>
    <n v="1.01"/>
    <n v="258"/>
    <n v="5309.34"/>
    <n v="-84.484999999999999"/>
    <x v="2"/>
  </r>
  <r>
    <x v="5"/>
    <x v="4"/>
    <n v="99258"/>
    <n v="42283"/>
    <n v="0.43"/>
    <n v="4349"/>
    <n v="0.08"/>
    <n v="24149"/>
    <n v="0.56999999999999995"/>
    <n v="24071"/>
    <n v="500400.85"/>
    <n v="-77.73"/>
    <x v="1"/>
  </r>
  <r>
    <x v="14"/>
    <x v="4"/>
    <n v="2760"/>
    <n v="434"/>
    <n v="0.16"/>
    <n v="71"/>
    <n v="0.12"/>
    <n v="553"/>
    <n v="1.28"/>
    <n v="496"/>
    <n v="11027.61"/>
    <n v="-56.945"/>
    <x v="2"/>
  </r>
  <r>
    <x v="22"/>
    <x v="4"/>
    <n v="51335"/>
    <n v="19009"/>
    <n v="0.37"/>
    <n v="2095"/>
    <n v="0.08"/>
    <n v="12189"/>
    <n v="0.64"/>
    <n v="12145"/>
    <n v="256314.93"/>
    <n v="-44.189"/>
    <x v="3"/>
  </r>
  <r>
    <x v="13"/>
    <x v="4"/>
    <n v="1805"/>
    <n v="354"/>
    <n v="0.2"/>
    <n v="55"/>
    <n v="0.14000000000000001"/>
    <n v="134"/>
    <n v="0.38"/>
    <n v="95"/>
    <n v="2156.0700000000002"/>
    <n v="-38.959000000000003"/>
    <x v="2"/>
  </r>
  <r>
    <x v="20"/>
    <x v="4"/>
    <n v="3279"/>
    <n v="618"/>
    <n v="0.19"/>
    <n v="52"/>
    <n v="0.1"/>
    <n v="118"/>
    <n v="0.19"/>
    <n v="93"/>
    <n v="1855.08"/>
    <n v="-25.215"/>
    <x v="3"/>
  </r>
  <r>
    <x v="31"/>
    <x v="4"/>
    <n v="127"/>
    <n v="32"/>
    <n v="0.25"/>
    <n v="2"/>
    <n v="0.04"/>
    <n v="18"/>
    <n v="0.59"/>
    <n v="7"/>
    <n v="139.88999999999999"/>
    <n v="-11.005000000000001"/>
    <x v="5"/>
  </r>
  <r>
    <x v="27"/>
    <x v="4"/>
    <n v="85"/>
    <n v="9"/>
    <n v="0.11"/>
    <n v="0"/>
    <n v="0"/>
    <n v="2"/>
    <n v="0.32"/>
    <n v="0"/>
    <n v="0"/>
    <n v="-2"/>
    <x v="4"/>
  </r>
  <r>
    <x v="34"/>
    <x v="4"/>
    <n v="209"/>
    <n v="31"/>
    <n v="0.15"/>
    <n v="2"/>
    <n v="0.05"/>
    <n v="7"/>
    <n v="0.23"/>
    <n v="7"/>
    <n v="147.75"/>
    <n v="0.38900000000000001"/>
    <x v="5"/>
  </r>
  <r>
    <x v="9"/>
    <x v="4"/>
    <n v="5828"/>
    <n v="1975"/>
    <n v="0.34"/>
    <n v="214"/>
    <n v="0.09"/>
    <n v="1118"/>
    <n v="0.56999999999999995"/>
    <n v="1121"/>
    <n v="22936.400000000001"/>
    <n v="3.1040000000000001"/>
    <x v="1"/>
  </r>
  <r>
    <x v="21"/>
    <x v="4"/>
    <n v="6838"/>
    <n v="1235"/>
    <n v="0.18"/>
    <n v="85"/>
    <n v="7.0000000000000007E-2"/>
    <n v="641"/>
    <n v="0.52"/>
    <n v="676"/>
    <n v="14020.86"/>
    <n v="34.512"/>
    <x v="3"/>
  </r>
  <r>
    <x v="38"/>
    <x v="4"/>
    <n v="257"/>
    <n v="24"/>
    <n v="0.09"/>
    <n v="7"/>
    <n v="0.28000000000000003"/>
    <n v="3"/>
    <n v="0.14000000000000001"/>
    <n v="45"/>
    <n v="898.8"/>
    <n v="41.945999999999998"/>
    <x v="2"/>
  </r>
  <r>
    <x v="2"/>
    <x v="4"/>
    <n v="7254"/>
    <n v="2725"/>
    <n v="0.38"/>
    <n v="512"/>
    <n v="0.11"/>
    <n v="3182"/>
    <n v="1.17"/>
    <n v="3227"/>
    <n v="66672.289999999994"/>
    <n v="45.468000000000004"/>
    <x v="0"/>
  </r>
  <r>
    <x v="11"/>
    <x v="4"/>
    <n v="18526"/>
    <n v="5553"/>
    <n v="0.3"/>
    <n v="919"/>
    <n v="0.1"/>
    <n v="5982"/>
    <n v="1.08"/>
    <n v="6047"/>
    <n v="129556.9"/>
    <n v="64.552000000000007"/>
    <x v="2"/>
  </r>
  <r>
    <x v="39"/>
    <x v="4"/>
    <n v="3662"/>
    <n v="266"/>
    <n v="7.0000000000000007E-2"/>
    <n v="24"/>
    <n v="0.09"/>
    <n v="44"/>
    <n v="0.17"/>
    <n v="160"/>
    <n v="3268.63"/>
    <n v="115.96299999999999"/>
    <x v="3"/>
  </r>
  <r>
    <x v="15"/>
    <x v="4"/>
    <n v="25592"/>
    <n v="7726"/>
    <n v="0.3"/>
    <n v="1731"/>
    <n v="0.14000000000000001"/>
    <n v="10914"/>
    <n v="1.41"/>
    <n v="11223"/>
    <n v="236665.59"/>
    <n v="308.9750000000000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4" firstHeaderRow="0" firstDataRow="1" firstDataCol="0"/>
  <pivotFields count="13">
    <pivotField showAll="0">
      <items count="41">
        <item x="0"/>
        <item x="1"/>
        <item x="2"/>
        <item x="3"/>
        <item x="4"/>
        <item x="5"/>
        <item x="6"/>
        <item x="7"/>
        <item x="8"/>
        <item x="9"/>
        <item x="38"/>
        <item x="10"/>
        <item x="11"/>
        <item x="12"/>
        <item x="13"/>
        <item x="14"/>
        <item x="15"/>
        <item x="16"/>
        <item x="39"/>
        <item x="17"/>
        <item x="18"/>
        <item x="19"/>
        <item x="20"/>
        <item x="21"/>
        <item x="22"/>
        <item x="23"/>
        <item x="24"/>
        <item x="25"/>
        <item x="26"/>
        <item x="27"/>
        <item x="28"/>
        <item x="29"/>
        <item x="30"/>
        <item x="31"/>
        <item x="32"/>
        <item x="33"/>
        <item x="34"/>
        <item x="35"/>
        <item x="36"/>
        <item x="37"/>
        <item t="default"/>
      </items>
    </pivotField>
    <pivotField showAll="0">
      <items count="6">
        <item x="0"/>
        <item x="1"/>
        <item x="2"/>
        <item x="3"/>
        <item x="4"/>
        <item t="default"/>
      </items>
    </pivotField>
    <pivotField dataField="1" showAll="0"/>
    <pivotField dataField="1" showAll="0"/>
    <pivotField showAll="0"/>
    <pivotField dataField="1" showAll="0"/>
    <pivotField showAll="0"/>
    <pivotField dataField="1" showAll="0"/>
    <pivotField showAll="0"/>
    <pivotField showAll="0"/>
    <pivotField dataField="1" showAll="0"/>
    <pivotField dataField="1" showAll="0"/>
    <pivotField showAll="0">
      <items count="7">
        <item x="0"/>
        <item x="1"/>
        <item x="2"/>
        <item x="3"/>
        <item x="4"/>
        <item x="5"/>
        <item t="default"/>
      </items>
    </pivotField>
  </pivotFields>
  <rowItems count="1">
    <i/>
  </rowItems>
  <colFields count="1">
    <field x="-2"/>
  </colFields>
  <colItems count="6">
    <i>
      <x/>
    </i>
    <i i="1">
      <x v="1"/>
    </i>
    <i i="2">
      <x v="2"/>
    </i>
    <i i="3">
      <x v="3"/>
    </i>
    <i i="4">
      <x v="4"/>
    </i>
    <i i="5">
      <x v="5"/>
    </i>
  </colItems>
  <dataFields count="6">
    <dataField name="Sum of Impressions" fld="2" baseField="0" baseItem="0" numFmtId="3"/>
    <dataField name="Sum of Clicks" fld="3" baseField="0" baseItem="0" numFmtId="3"/>
    <dataField name="Sum of Conversions" fld="5" baseField="0" baseItem="0" numFmtId="3"/>
    <dataField name="Sum of Cost" fld="7" baseField="0" baseItem="0" numFmtId="44"/>
    <dataField name="Sum of Sale Amount" fld="10" baseField="0" baseItem="0" numFmtId="165"/>
    <dataField name="Sum of P&amp;L" fld="11" baseField="0" baseItem="0" numFmtId="164"/>
  </dataFields>
  <formats count="12">
    <format dxfId="12">
      <pivotArea outline="0" collapsedLevelsAreSubtotals="1" fieldPosition="0">
        <references count="1">
          <reference field="4294967294" count="1" selected="0">
            <x v="4"/>
          </reference>
        </references>
      </pivotArea>
    </format>
    <format dxfId="11">
      <pivotArea outline="0" fieldPosition="0">
        <references count="1">
          <reference field="4294967294" count="1">
            <x v="3"/>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format>
    <format dxfId="6">
      <pivotArea type="all" dataOnly="0" outline="0" fieldPosition="0"/>
    </format>
    <format dxfId="5">
      <pivotArea outline="0" collapsedLevelsAreSubtotals="1" fieldPosition="0"/>
    </format>
    <format dxfId="4">
      <pivotArea dataOnly="0" labelOnly="1" outline="0" fieldPosition="0">
        <references count="1">
          <reference field="4294967294" count="6">
            <x v="0"/>
            <x v="1"/>
            <x v="2"/>
            <x v="3"/>
            <x v="4"/>
            <x v="5"/>
          </reference>
        </references>
      </pivotArea>
    </format>
    <format dxfId="3">
      <pivotArea type="all" dataOnly="0" outline="0" fieldPosition="0"/>
    </format>
    <format dxfId="2">
      <pivotArea outline="0" collapsedLevelsAreSubtotals="1" fieldPosition="0"/>
    </format>
    <format dxfId="1">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3">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s>
  <rowFields count="1">
    <field x="1"/>
  </rowFields>
  <rowItems count="6">
    <i>
      <x/>
    </i>
    <i>
      <x v="1"/>
    </i>
    <i>
      <x v="2"/>
    </i>
    <i>
      <x v="3"/>
    </i>
    <i>
      <x v="4"/>
    </i>
    <i t="grand">
      <x/>
    </i>
  </rowItems>
  <colItems count="1">
    <i/>
  </colItems>
  <dataFields count="1">
    <dataField name="Sum of Sale Amount" fld="10" baseField="0" baseItem="0"/>
  </dataFields>
  <chartFormats count="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3">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dataField="1" showAll="0"/>
    <pivotField axis="axisRow" showAll="0" sortType="descending">
      <items count="7">
        <item x="5"/>
        <item x="4"/>
        <item x="3"/>
        <item x="2"/>
        <item x="1"/>
        <item x="0"/>
        <item t="default"/>
      </items>
      <autoSortScope>
        <pivotArea dataOnly="0" outline="0" fieldPosition="0">
          <references count="1">
            <reference field="4294967294" count="1" selected="0">
              <x v="0"/>
            </reference>
          </references>
        </pivotArea>
      </autoSortScope>
    </pivotField>
  </pivotFields>
  <rowFields count="1">
    <field x="12"/>
  </rowFields>
  <rowItems count="7">
    <i>
      <x v="3"/>
    </i>
    <i>
      <x v="1"/>
    </i>
    <i>
      <x v="2"/>
    </i>
    <i>
      <x/>
    </i>
    <i>
      <x v="5"/>
    </i>
    <i>
      <x v="4"/>
    </i>
    <i t="grand">
      <x/>
    </i>
  </rowItems>
  <colItems count="1">
    <i/>
  </colItems>
  <dataFields count="1">
    <dataField name="Sum of P&amp;L" fld="11" baseField="0" baseItem="0"/>
  </dataFields>
  <chartFormats count="2">
    <chartFormat chart="3" format="6"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3">
    <pivotField showAll="0">
      <items count="41">
        <item x="0"/>
        <item x="1"/>
        <item x="2"/>
        <item x="3"/>
        <item x="4"/>
        <item x="5"/>
        <item x="6"/>
        <item x="7"/>
        <item x="8"/>
        <item x="9"/>
        <item x="38"/>
        <item x="10"/>
        <item x="11"/>
        <item x="12"/>
        <item x="13"/>
        <item x="14"/>
        <item x="15"/>
        <item x="16"/>
        <item x="39"/>
        <item x="17"/>
        <item x="18"/>
        <item x="19"/>
        <item x="20"/>
        <item x="21"/>
        <item x="22"/>
        <item x="23"/>
        <item x="24"/>
        <item x="25"/>
        <item x="26"/>
        <item x="27"/>
        <item x="28"/>
        <item x="29"/>
        <item x="30"/>
        <item x="31"/>
        <item x="32"/>
        <item x="33"/>
        <item x="34"/>
        <item x="35"/>
        <item x="36"/>
        <item x="37"/>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7">
        <item x="0"/>
        <item x="1"/>
        <item x="2"/>
        <item x="3"/>
        <item x="4"/>
        <item x="5"/>
        <item t="default"/>
      </items>
    </pivotField>
  </pivotFields>
  <rowFields count="1">
    <field x="12"/>
  </rowFields>
  <rowItems count="7">
    <i>
      <x/>
    </i>
    <i>
      <x v="1"/>
    </i>
    <i>
      <x v="2"/>
    </i>
    <i>
      <x v="3"/>
    </i>
    <i>
      <x v="4"/>
    </i>
    <i>
      <x v="5"/>
    </i>
    <i t="grand">
      <x/>
    </i>
  </rowItems>
  <colItems count="1">
    <i/>
  </colItems>
  <dataFields count="1">
    <dataField name="Sum of Sale Amoun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9" firstHeaderRow="0" firstDataRow="1" firstDataCol="1"/>
  <pivotFields count="13">
    <pivotField showAll="0"/>
    <pivotField axis="axisRow" showAll="0">
      <items count="6">
        <item x="0"/>
        <item x="1"/>
        <item x="2"/>
        <item x="3"/>
        <item x="4"/>
        <item t="default"/>
      </items>
    </pivotField>
    <pivotField showAll="0"/>
    <pivotField showAll="0"/>
    <pivotField showAll="0"/>
    <pivotField showAll="0"/>
    <pivotField showAll="0"/>
    <pivotField dataField="1" showAll="0"/>
    <pivotField showAll="0"/>
    <pivotField showAll="0"/>
    <pivotField dataField="1" showAll="0"/>
    <pivotField showAll="0"/>
    <pivotField showAll="0">
      <items count="7">
        <item x="0"/>
        <item x="1"/>
        <item x="2"/>
        <item x="3"/>
        <item x="4"/>
        <item x="5"/>
        <item t="default"/>
      </items>
    </pivotField>
  </pivotFields>
  <rowFields count="1">
    <field x="1"/>
  </rowFields>
  <rowItems count="6">
    <i>
      <x/>
    </i>
    <i>
      <x v="1"/>
    </i>
    <i>
      <x v="2"/>
    </i>
    <i>
      <x v="3"/>
    </i>
    <i>
      <x v="4"/>
    </i>
    <i t="grand">
      <x/>
    </i>
  </rowItems>
  <colFields count="1">
    <field x="-2"/>
  </colFields>
  <colItems count="2">
    <i>
      <x/>
    </i>
    <i i="1">
      <x v="1"/>
    </i>
  </colItems>
  <dataFields count="2">
    <dataField name="Sum of Cost" fld="7" baseField="0" baseItem="0"/>
    <dataField name="Sum of Sale Amount" fld="10" baseField="0" baseItem="0"/>
  </dataFields>
  <chartFormats count="2">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7" name="PivotTable4"/>
    <pivotTable tabId="14" name="PivotTable1"/>
    <pivotTable tabId="16" name="PivotTable3"/>
    <pivotTable tabId="15" name="PivotTable2"/>
    <pivotTable tabId="18" name="PivotTable5"/>
  </pivotTables>
  <data>
    <tabular pivotCacheId="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d_group_simplified" sourceName="ad group simplified">
  <pivotTables>
    <pivotTable tabId="16" name="PivotTable3"/>
    <pivotTable tabId="14" name="PivotTable1"/>
    <pivotTable tabId="17" name="PivotTable4"/>
    <pivotTable tabId="15" name="PivotTable2"/>
    <pivotTable tabId="18" name="PivotTable5"/>
  </pivotTables>
  <data>
    <tabular pivotCacheId="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73050"/>
  <slicer name="ad group simplified" cache="Slicer_ad_group_simplified" caption="ad group simplified" rowHeight="273050"/>
</slicers>
</file>

<file path=xl/tables/table1.xml><?xml version="1.0" encoding="utf-8"?>
<table xmlns="http://schemas.openxmlformats.org/spreadsheetml/2006/main" id="1" name="AdData" displayName="AdData" ref="A1:M191">
  <autoFilter ref="A1:M191"/>
  <tableColumns count="13">
    <tableColumn id="1" name="Ad Group" totalsRowLabel="Total"/>
    <tableColumn id="2" name="Month"/>
    <tableColumn id="3" name="Impressions"/>
    <tableColumn id="4" name="Clicks"/>
    <tableColumn id="5" name="CTR"/>
    <tableColumn id="6" name="Conversions"/>
    <tableColumn id="7" name="Conv Rate"/>
    <tableColumn id="8" name="Cost"/>
    <tableColumn id="9" name="CPC"/>
    <tableColumn id="10" name="Revenue"/>
    <tableColumn id="11" name="Sale Amount"/>
    <tableColumn id="12" name="P&amp;L"/>
    <tableColumn id="13" name="ad group simplified" totalsRowFunction="count" dataDxfId="0">
      <calculatedColumnFormula>IFERROR(
    IF(AND(ISNUMBER(SEARCH("1:1", A2)), ISNUMBER(SEARCH("Desk", A2))), "1:1 Desk",
    IF(AND(ISNUMBER(SEARCH("1:1", A2)), ISNUMBER(SEARCH("Mob", A2))), "1:1 Mob",
    IF(AND(ISNUMBER(SEARCH("Exact", A2)), ISNUMBER(SEARCH("Desk", A2))), "Exact Desk",
    IF(AND(ISNUMBER(SEARCH("Exact", A2)), ISNUMBER(SEARCH("Mob", A2))), "Exact Mob",
    IF(AND(ISNUMBER(SEARCH("Phrase", A2)), ISNUMBER(SEARCH("Desk", A2))), "Phrase Desk",
    IF(AND(ISNUMBER(SEARCH("Phrase", A2)), ISNUMBER(SEARCH("Mob", A2))), "Phrase Mob",
    "Other")))))),
"Other")</calculatedColumnFormula>
    </tableColumn>
  </tableColumns>
  <tableStyleInfo name="TableStyleMedium21"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6:T33"/>
  <sheetViews>
    <sheetView tabSelected="1" zoomScale="80" zoomScaleNormal="80" workbookViewId="0">
      <selection activeCell="V16" sqref="V16"/>
    </sheetView>
  </sheetViews>
  <sheetFormatPr defaultRowHeight="17.25" x14ac:dyDescent="0.35"/>
  <cols>
    <col min="1" max="7" width="9" style="4"/>
    <col min="8" max="8" width="8" style="4" customWidth="1"/>
    <col min="9" max="16" width="9" style="4"/>
    <col min="17" max="17" width="6.875" style="4" customWidth="1"/>
    <col min="18" max="18" width="19.25" style="4" bestFit="1" customWidth="1"/>
    <col min="19" max="19" width="3.375" style="4" customWidth="1"/>
    <col min="20" max="20" width="22.375" style="4" bestFit="1" customWidth="1"/>
    <col min="21" max="16384" width="9" style="4"/>
  </cols>
  <sheetData>
    <row r="6" spans="18:20" ht="21.75" x14ac:dyDescent="0.45">
      <c r="R6" s="12" t="s">
        <v>72</v>
      </c>
      <c r="T6" s="12" t="s">
        <v>73</v>
      </c>
    </row>
    <row r="7" spans="18:20" ht="21.75" x14ac:dyDescent="0.45">
      <c r="R7" s="13">
        <f>GETPIVOTDATA("Sum of Sale Amount",kpis!$A$3)</f>
        <v>12049074.310000002</v>
      </c>
      <c r="S7" s="11"/>
      <c r="T7" s="14">
        <f>GETPIVOTDATA("Sum of Cost",kpis!$A$3)</f>
        <v>635372</v>
      </c>
    </row>
    <row r="8" spans="18:20" ht="21.75" x14ac:dyDescent="0.45">
      <c r="S8" s="11"/>
    </row>
    <row r="9" spans="18:20" ht="21.75" x14ac:dyDescent="0.45">
      <c r="R9" s="12" t="s">
        <v>76</v>
      </c>
      <c r="S9" s="11"/>
      <c r="T9" s="12" t="s">
        <v>77</v>
      </c>
    </row>
    <row r="10" spans="18:20" ht="21.75" x14ac:dyDescent="0.45">
      <c r="R10" s="15">
        <f>IF(GETPIVOTDATA("Sum of Clicks",kpis!$A$3)=0,0,GETPIVOTDATA("Sum of Conversions",kpis!$A$3)/GETPIVOTDATA("Sum of Clicks",kpis!$A$3))</f>
        <v>0.10383524985857266</v>
      </c>
      <c r="S10" s="11"/>
      <c r="T10" s="16">
        <f>IF(GETPIVOTDATA("Sum of Conversions",kpis!$A$3)=0,0,GETPIVOTDATA("Sum of Cost",kpis!$A$3)/GETPIVOTDATA("Sum of Conversions",kpis!$A$3))</f>
        <v>6.6187341139214135</v>
      </c>
    </row>
    <row r="11" spans="18:20" ht="21.75" x14ac:dyDescent="0.45">
      <c r="S11" s="11"/>
    </row>
    <row r="12" spans="18:20" ht="21.75" x14ac:dyDescent="0.45">
      <c r="R12" s="12" t="s">
        <v>74</v>
      </c>
      <c r="S12" s="11"/>
      <c r="T12" s="12" t="s">
        <v>75</v>
      </c>
    </row>
    <row r="13" spans="18:20" ht="21.75" x14ac:dyDescent="0.45">
      <c r="R13" s="17">
        <f>GETPIVOTDATA("Sum of P&amp;L",kpis!$A$3)</f>
        <v>-73408.764000000054</v>
      </c>
      <c r="S13" s="11"/>
      <c r="T13" s="18">
        <f>IF(GETPIVOTDATA("Sum of Cost",kpis!$A$3)=0,0,GETPIVOTDATA("Sum of Sale Amount",kpis!$A$3)/GETPIVOTDATA("Sum of Cost",kpis!$A$3))</f>
        <v>18.963810665248079</v>
      </c>
    </row>
    <row r="14" spans="18:20" ht="21.75" x14ac:dyDescent="0.45">
      <c r="R14" s="11"/>
      <c r="S14" s="11"/>
      <c r="T14" s="11"/>
    </row>
    <row r="15" spans="18:20" ht="21.75" x14ac:dyDescent="0.45">
      <c r="S15" s="11"/>
    </row>
    <row r="16" spans="18:20" ht="21.75" x14ac:dyDescent="0.45">
      <c r="S16" s="11"/>
    </row>
    <row r="19" spans="16:20" x14ac:dyDescent="0.35">
      <c r="S19" s="10"/>
    </row>
    <row r="26" spans="16:20" x14ac:dyDescent="0.35">
      <c r="T26" s="10"/>
    </row>
    <row r="31" spans="16:20" x14ac:dyDescent="0.35">
      <c r="S31" s="10"/>
    </row>
    <row r="32" spans="16:20" x14ac:dyDescent="0.35">
      <c r="P32" s="10"/>
    </row>
    <row r="33" spans="13:13" x14ac:dyDescent="0.35">
      <c r="M33" s="10"/>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
  <sheetViews>
    <sheetView workbookViewId="0">
      <selection activeCell="C19" sqref="C19"/>
    </sheetView>
  </sheetViews>
  <sheetFormatPr defaultRowHeight="17.25" x14ac:dyDescent="0.35"/>
  <cols>
    <col min="1" max="1" width="18.25" customWidth="1"/>
    <col min="2" max="2" width="12.75" customWidth="1"/>
    <col min="3" max="3" width="18.625" bestFit="1" customWidth="1"/>
    <col min="4" max="4" width="11.875" bestFit="1" customWidth="1"/>
    <col min="5" max="5" width="19.375" bestFit="1" customWidth="1"/>
    <col min="6" max="6" width="11.375" customWidth="1"/>
    <col min="7" max="7" width="11.375" bestFit="1" customWidth="1"/>
    <col min="8" max="240" width="44.75" bestFit="1" customWidth="1"/>
    <col min="241" max="241" width="23.625" bestFit="1" customWidth="1"/>
    <col min="242" max="242" width="18.25" bestFit="1" customWidth="1"/>
    <col min="243" max="243" width="24" bestFit="1" customWidth="1"/>
    <col min="244" max="244" width="17.125" bestFit="1" customWidth="1"/>
    <col min="245" max="245" width="24.75" bestFit="1" customWidth="1"/>
    <col min="246" max="246" width="16.75" bestFit="1" customWidth="1"/>
  </cols>
  <sheetData>
    <row r="3" spans="1:6" x14ac:dyDescent="0.35">
      <c r="A3" s="5" t="s">
        <v>59</v>
      </c>
      <c r="B3" s="5" t="s">
        <v>60</v>
      </c>
      <c r="C3" s="5" t="s">
        <v>61</v>
      </c>
      <c r="D3" s="5" t="s">
        <v>70</v>
      </c>
      <c r="E3" s="5" t="s">
        <v>71</v>
      </c>
      <c r="F3" s="5" t="s">
        <v>62</v>
      </c>
    </row>
    <row r="4" spans="1:6" x14ac:dyDescent="0.35">
      <c r="A4" s="6">
        <v>2674699</v>
      </c>
      <c r="B4" s="6">
        <v>924503</v>
      </c>
      <c r="C4" s="6">
        <v>95996</v>
      </c>
      <c r="D4" s="7">
        <v>635372</v>
      </c>
      <c r="E4" s="8">
        <v>12049074.310000002</v>
      </c>
      <c r="F4" s="9">
        <v>-73408.764000000054</v>
      </c>
    </row>
  </sheetData>
  <pageMargins left="0.7" right="0.7" top="0.75" bottom="0.75" header="0.3" footer="0.3"/>
  <pageSetup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15" sqref="B15"/>
    </sheetView>
  </sheetViews>
  <sheetFormatPr defaultRowHeight="17.25" x14ac:dyDescent="0.35"/>
  <cols>
    <col min="1" max="1" width="12.75" bestFit="1" customWidth="1"/>
    <col min="2" max="2" width="19.375" bestFit="1" customWidth="1"/>
  </cols>
  <sheetData>
    <row r="3" spans="1:2" x14ac:dyDescent="0.35">
      <c r="A3" s="1" t="s">
        <v>57</v>
      </c>
      <c r="B3" t="s">
        <v>71</v>
      </c>
    </row>
    <row r="4" spans="1:2" x14ac:dyDescent="0.35">
      <c r="A4" s="2" t="s">
        <v>13</v>
      </c>
      <c r="B4" s="3">
        <v>2148710.3199999998</v>
      </c>
    </row>
    <row r="5" spans="1:2" x14ac:dyDescent="0.35">
      <c r="A5" s="2" t="s">
        <v>51</v>
      </c>
      <c r="B5" s="3">
        <v>1605066.0000000002</v>
      </c>
    </row>
    <row r="6" spans="1:2" x14ac:dyDescent="0.35">
      <c r="A6" s="2" t="s">
        <v>52</v>
      </c>
      <c r="B6" s="3">
        <v>1319949.1399999994</v>
      </c>
    </row>
    <row r="7" spans="1:2" x14ac:dyDescent="0.35">
      <c r="A7" s="2" t="s">
        <v>53</v>
      </c>
      <c r="B7" s="3">
        <v>1676593.4999999991</v>
      </c>
    </row>
    <row r="8" spans="1:2" x14ac:dyDescent="0.35">
      <c r="A8" s="2" t="s">
        <v>54</v>
      </c>
      <c r="B8" s="3">
        <v>5298755.3500000006</v>
      </c>
    </row>
    <row r="9" spans="1:2" x14ac:dyDescent="0.35">
      <c r="A9" s="2" t="s">
        <v>58</v>
      </c>
      <c r="B9" s="3">
        <v>12049074.309999999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I19" sqref="I19"/>
    </sheetView>
  </sheetViews>
  <sheetFormatPr defaultRowHeight="17.25" x14ac:dyDescent="0.35"/>
  <cols>
    <col min="1" max="1" width="12.75" bestFit="1" customWidth="1"/>
    <col min="2" max="2" width="11.375" bestFit="1" customWidth="1"/>
  </cols>
  <sheetData>
    <row r="3" spans="1:2" x14ac:dyDescent="0.35">
      <c r="A3" s="1" t="s">
        <v>57</v>
      </c>
      <c r="B3" t="s">
        <v>62</v>
      </c>
    </row>
    <row r="4" spans="1:2" x14ac:dyDescent="0.35">
      <c r="A4" s="2" t="s">
        <v>66</v>
      </c>
      <c r="B4" s="3">
        <v>-3494.846</v>
      </c>
    </row>
    <row r="5" spans="1:2" x14ac:dyDescent="0.35">
      <c r="A5" s="2" t="s">
        <v>68</v>
      </c>
      <c r="B5" s="3">
        <v>-4021.7330000000006</v>
      </c>
    </row>
    <row r="6" spans="1:2" x14ac:dyDescent="0.35">
      <c r="A6" s="2" t="s">
        <v>67</v>
      </c>
      <c r="B6" s="3">
        <v>-8524.5820000000003</v>
      </c>
    </row>
    <row r="7" spans="1:2" x14ac:dyDescent="0.35">
      <c r="A7" s="2" t="s">
        <v>69</v>
      </c>
      <c r="B7" s="3">
        <v>-8618.3589999999986</v>
      </c>
    </row>
    <row r="8" spans="1:2" x14ac:dyDescent="0.35">
      <c r="A8" s="2" t="s">
        <v>64</v>
      </c>
      <c r="B8" s="3">
        <v>-20490.739999999998</v>
      </c>
    </row>
    <row r="9" spans="1:2" x14ac:dyDescent="0.35">
      <c r="A9" s="2" t="s">
        <v>65</v>
      </c>
      <c r="B9" s="3">
        <v>-28258.504000000001</v>
      </c>
    </row>
    <row r="10" spans="1:2" x14ac:dyDescent="0.35">
      <c r="A10" s="2" t="s">
        <v>58</v>
      </c>
      <c r="B10" s="3">
        <v>-73408.763999999996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K5" sqref="K5"/>
    </sheetView>
  </sheetViews>
  <sheetFormatPr defaultRowHeight="17.25" x14ac:dyDescent="0.35"/>
  <cols>
    <col min="1" max="1" width="12.75" customWidth="1"/>
    <col min="2" max="2" width="19.375" bestFit="1" customWidth="1"/>
  </cols>
  <sheetData>
    <row r="3" spans="1:2" x14ac:dyDescent="0.35">
      <c r="A3" s="1" t="s">
        <v>57</v>
      </c>
      <c r="B3" t="s">
        <v>71</v>
      </c>
    </row>
    <row r="4" spans="1:2" x14ac:dyDescent="0.35">
      <c r="A4" s="2" t="s">
        <v>64</v>
      </c>
      <c r="B4" s="3">
        <v>3897156.69</v>
      </c>
    </row>
    <row r="5" spans="1:2" x14ac:dyDescent="0.35">
      <c r="A5" s="2" t="s">
        <v>65</v>
      </c>
      <c r="B5" s="3">
        <v>4923511.04</v>
      </c>
    </row>
    <row r="6" spans="1:2" x14ac:dyDescent="0.35">
      <c r="A6" s="2" t="s">
        <v>66</v>
      </c>
      <c r="B6" s="3">
        <v>979856.13000000012</v>
      </c>
    </row>
    <row r="7" spans="1:2" x14ac:dyDescent="0.35">
      <c r="A7" s="2" t="s">
        <v>67</v>
      </c>
      <c r="B7" s="3">
        <v>1064887.6299999997</v>
      </c>
    </row>
    <row r="8" spans="1:2" x14ac:dyDescent="0.35">
      <c r="A8" s="2" t="s">
        <v>68</v>
      </c>
      <c r="B8" s="3">
        <v>698423.6100000001</v>
      </c>
    </row>
    <row r="9" spans="1:2" x14ac:dyDescent="0.35">
      <c r="A9" s="2" t="s">
        <v>69</v>
      </c>
      <c r="B9" s="3">
        <v>485239.21000000008</v>
      </c>
    </row>
    <row r="10" spans="1:2" x14ac:dyDescent="0.35">
      <c r="A10" s="2" t="s">
        <v>58</v>
      </c>
      <c r="B10" s="3">
        <v>12049074.310000001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B6" sqref="B6"/>
    </sheetView>
  </sheetViews>
  <sheetFormatPr defaultRowHeight="17.25" x14ac:dyDescent="0.35"/>
  <cols>
    <col min="1" max="1" width="12.75" bestFit="1" customWidth="1"/>
    <col min="2" max="2" width="11.625" bestFit="1" customWidth="1"/>
    <col min="3" max="3" width="19.375" bestFit="1" customWidth="1"/>
  </cols>
  <sheetData>
    <row r="3" spans="1:3" x14ac:dyDescent="0.35">
      <c r="A3" s="1" t="s">
        <v>57</v>
      </c>
      <c r="B3" t="s">
        <v>70</v>
      </c>
      <c r="C3" t="s">
        <v>71</v>
      </c>
    </row>
    <row r="4" spans="1:3" x14ac:dyDescent="0.35">
      <c r="A4" s="2" t="s">
        <v>13</v>
      </c>
      <c r="B4" s="3">
        <v>120541</v>
      </c>
      <c r="C4" s="3">
        <v>2148710.3199999998</v>
      </c>
    </row>
    <row r="5" spans="1:3" x14ac:dyDescent="0.35">
      <c r="A5" s="2" t="s">
        <v>51</v>
      </c>
      <c r="B5" s="3">
        <v>84225</v>
      </c>
      <c r="C5" s="3">
        <v>1605066.0000000002</v>
      </c>
    </row>
    <row r="6" spans="1:3" x14ac:dyDescent="0.35">
      <c r="A6" s="2" t="s">
        <v>52</v>
      </c>
      <c r="B6" s="3">
        <v>71597</v>
      </c>
      <c r="C6" s="3">
        <v>1319949.1399999994</v>
      </c>
    </row>
    <row r="7" spans="1:3" x14ac:dyDescent="0.35">
      <c r="A7" s="2" t="s">
        <v>53</v>
      </c>
      <c r="B7" s="3">
        <v>78256</v>
      </c>
      <c r="C7" s="3">
        <v>1676593.4999999991</v>
      </c>
    </row>
    <row r="8" spans="1:3" x14ac:dyDescent="0.35">
      <c r="A8" s="2" t="s">
        <v>54</v>
      </c>
      <c r="B8" s="3">
        <v>280753</v>
      </c>
      <c r="C8" s="3">
        <v>5298755.3500000006</v>
      </c>
    </row>
    <row r="9" spans="1:3" x14ac:dyDescent="0.35">
      <c r="A9" s="2" t="s">
        <v>58</v>
      </c>
      <c r="B9" s="3">
        <v>635372</v>
      </c>
      <c r="C9" s="3">
        <v>12049074.309999999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1"/>
  <sheetViews>
    <sheetView workbookViewId="0">
      <selection activeCell="K7" sqref="K7"/>
    </sheetView>
  </sheetViews>
  <sheetFormatPr defaultRowHeight="17.25" x14ac:dyDescent="0.35"/>
  <cols>
    <col min="1" max="1" width="44" customWidth="1"/>
    <col min="3" max="3" width="13.75" customWidth="1"/>
    <col min="6" max="6" width="13.875" customWidth="1"/>
    <col min="7" max="7" width="11.875" customWidth="1"/>
    <col min="10" max="10" width="10.875" customWidth="1"/>
    <col min="11" max="11" width="14.375" customWidth="1"/>
    <col min="13" max="13" width="20.625" customWidth="1"/>
  </cols>
  <sheetData>
    <row r="1" spans="1:13" x14ac:dyDescent="0.35">
      <c r="A1" t="s">
        <v>0</v>
      </c>
      <c r="B1" t="s">
        <v>1</v>
      </c>
      <c r="C1" t="s">
        <v>2</v>
      </c>
      <c r="D1" t="s">
        <v>3</v>
      </c>
      <c r="E1" t="s">
        <v>4</v>
      </c>
      <c r="F1" t="s">
        <v>5</v>
      </c>
      <c r="G1" t="s">
        <v>6</v>
      </c>
      <c r="H1" t="s">
        <v>7</v>
      </c>
      <c r="I1" t="s">
        <v>8</v>
      </c>
      <c r="J1" t="s">
        <v>9</v>
      </c>
      <c r="K1" t="s">
        <v>10</v>
      </c>
      <c r="L1" t="s">
        <v>11</v>
      </c>
      <c r="M1" t="s">
        <v>63</v>
      </c>
    </row>
    <row r="2" spans="1:13" x14ac:dyDescent="0.35">
      <c r="A2" t="s">
        <v>12</v>
      </c>
      <c r="B2" t="s">
        <v>13</v>
      </c>
      <c r="C2">
        <v>16038</v>
      </c>
      <c r="D2">
        <v>6504</v>
      </c>
      <c r="E2">
        <v>0.41</v>
      </c>
      <c r="F2">
        <v>1166</v>
      </c>
      <c r="G2">
        <v>0.1</v>
      </c>
      <c r="H2">
        <v>6669</v>
      </c>
      <c r="I2">
        <v>1.03</v>
      </c>
      <c r="J2">
        <v>6402</v>
      </c>
      <c r="K2">
        <v>136770.04999999999</v>
      </c>
      <c r="L2">
        <v>-267.08600000000001</v>
      </c>
      <c r="M2" t="str">
        <f t="shared" ref="M2:M33" si="0">IFERROR(
    IF(AND(ISNUMBER(SEARCH("1:1", A2)), ISNUMBER(SEARCH("Desk", A2))), "1:1 Desk",
    IF(AND(ISNUMBER(SEARCH("1:1", A2)), ISNUMBER(SEARCH("Mob", A2))), "1:1 Mob",
    IF(AND(ISNUMBER(SEARCH("Exact", A2)), ISNUMBER(SEARCH("Desk", A2))), "Exact Desk",
    IF(AND(ISNUMBER(SEARCH("Exact", A2)), ISNUMBER(SEARCH("Mob", A2))), "Exact Mob",
    IF(AND(ISNUMBER(SEARCH("Phrase", A2)), ISNUMBER(SEARCH("Desk", A2))), "Phrase Desk",
    IF(AND(ISNUMBER(SEARCH("Phrase", A2)), ISNUMBER(SEARCH("Mob", A2))), "Phrase Mob",
    "Other")))))),
"Other")</f>
        <v>1:1 Desk</v>
      </c>
    </row>
    <row r="3" spans="1:13" x14ac:dyDescent="0.35">
      <c r="A3" t="s">
        <v>14</v>
      </c>
      <c r="B3" t="s">
        <v>13</v>
      </c>
      <c r="C3">
        <v>36462</v>
      </c>
      <c r="D3">
        <v>14367</v>
      </c>
      <c r="E3">
        <v>0.39</v>
      </c>
      <c r="F3">
        <v>2188</v>
      </c>
      <c r="G3">
        <v>0.09</v>
      </c>
      <c r="H3">
        <v>13746</v>
      </c>
      <c r="I3">
        <v>0.96</v>
      </c>
      <c r="J3">
        <v>13262</v>
      </c>
      <c r="K3">
        <v>283215.21000000002</v>
      </c>
      <c r="L3">
        <v>-483.95100000000002</v>
      </c>
      <c r="M3" t="str">
        <f t="shared" si="0"/>
        <v>1:1 Desk</v>
      </c>
    </row>
    <row r="4" spans="1:13" x14ac:dyDescent="0.35">
      <c r="A4" t="s">
        <v>15</v>
      </c>
      <c r="B4" t="s">
        <v>13</v>
      </c>
      <c r="C4">
        <v>3635</v>
      </c>
      <c r="D4">
        <v>1458</v>
      </c>
      <c r="E4">
        <v>0.4</v>
      </c>
      <c r="F4">
        <v>248</v>
      </c>
      <c r="G4">
        <v>0.09</v>
      </c>
      <c r="H4">
        <v>1606</v>
      </c>
      <c r="I4">
        <v>1.1000000000000001</v>
      </c>
      <c r="J4">
        <v>1723</v>
      </c>
      <c r="K4">
        <v>39165.46</v>
      </c>
      <c r="L4">
        <v>117.136</v>
      </c>
      <c r="M4" t="str">
        <f t="shared" si="0"/>
        <v>1:1 Desk</v>
      </c>
    </row>
    <row r="5" spans="1:13" x14ac:dyDescent="0.35">
      <c r="A5" t="s">
        <v>16</v>
      </c>
      <c r="B5" t="s">
        <v>13</v>
      </c>
      <c r="C5">
        <v>26185</v>
      </c>
      <c r="D5">
        <v>10418</v>
      </c>
      <c r="E5">
        <v>0.4</v>
      </c>
      <c r="F5">
        <v>2294</v>
      </c>
      <c r="G5">
        <v>0.12</v>
      </c>
      <c r="H5">
        <v>13278</v>
      </c>
      <c r="I5">
        <v>1.27</v>
      </c>
      <c r="J5">
        <v>13042</v>
      </c>
      <c r="K5">
        <v>284823.48</v>
      </c>
      <c r="L5">
        <v>-235.92099999999999</v>
      </c>
      <c r="M5" t="str">
        <f t="shared" si="0"/>
        <v>1:1 Desk</v>
      </c>
    </row>
    <row r="6" spans="1:13" x14ac:dyDescent="0.35">
      <c r="A6" t="s">
        <v>17</v>
      </c>
      <c r="B6" t="s">
        <v>13</v>
      </c>
      <c r="C6">
        <v>808</v>
      </c>
      <c r="D6">
        <v>282</v>
      </c>
      <c r="E6">
        <v>0.35</v>
      </c>
      <c r="F6">
        <v>61</v>
      </c>
      <c r="G6">
        <v>0.15</v>
      </c>
      <c r="H6">
        <v>391</v>
      </c>
      <c r="I6">
        <v>1.39</v>
      </c>
      <c r="J6">
        <v>337</v>
      </c>
      <c r="K6">
        <v>7717.77</v>
      </c>
      <c r="L6">
        <v>-53.603999999999999</v>
      </c>
      <c r="M6" t="str">
        <f t="shared" si="0"/>
        <v>1:1 Desk</v>
      </c>
    </row>
    <row r="7" spans="1:13" x14ac:dyDescent="0.35">
      <c r="A7" t="s">
        <v>18</v>
      </c>
      <c r="B7" t="s">
        <v>13</v>
      </c>
      <c r="C7">
        <v>46507</v>
      </c>
      <c r="D7">
        <v>21756</v>
      </c>
      <c r="E7">
        <v>0.47</v>
      </c>
      <c r="F7">
        <v>1665</v>
      </c>
      <c r="G7">
        <v>0.05</v>
      </c>
      <c r="H7">
        <v>13157</v>
      </c>
      <c r="I7">
        <v>0.6</v>
      </c>
      <c r="J7">
        <v>8550</v>
      </c>
      <c r="K7">
        <v>185824.49</v>
      </c>
      <c r="L7">
        <v>-4606.7129999999997</v>
      </c>
      <c r="M7" t="str">
        <f t="shared" si="0"/>
        <v>1:1 Mob</v>
      </c>
    </row>
    <row r="8" spans="1:13" x14ac:dyDescent="0.35">
      <c r="A8" t="s">
        <v>19</v>
      </c>
      <c r="B8" t="s">
        <v>13</v>
      </c>
      <c r="C8">
        <v>152394</v>
      </c>
      <c r="D8">
        <v>59177</v>
      </c>
      <c r="E8">
        <v>0.39</v>
      </c>
      <c r="F8">
        <v>2666</v>
      </c>
      <c r="G8">
        <v>0.04</v>
      </c>
      <c r="H8">
        <v>19371</v>
      </c>
      <c r="I8">
        <v>0.33</v>
      </c>
      <c r="J8">
        <v>13699</v>
      </c>
      <c r="K8">
        <v>294536.92</v>
      </c>
      <c r="L8">
        <v>-5672.2709999999997</v>
      </c>
      <c r="M8" t="str">
        <f t="shared" si="0"/>
        <v>1:1 Mob</v>
      </c>
    </row>
    <row r="9" spans="1:13" x14ac:dyDescent="0.35">
      <c r="A9" t="s">
        <v>20</v>
      </c>
      <c r="B9" t="s">
        <v>13</v>
      </c>
      <c r="C9">
        <v>9950</v>
      </c>
      <c r="D9">
        <v>4283</v>
      </c>
      <c r="E9">
        <v>0.43</v>
      </c>
      <c r="F9">
        <v>347</v>
      </c>
      <c r="G9">
        <v>0.05</v>
      </c>
      <c r="H9">
        <v>2637</v>
      </c>
      <c r="I9">
        <v>0.62</v>
      </c>
      <c r="J9">
        <v>2038</v>
      </c>
      <c r="K9">
        <v>46026.32</v>
      </c>
      <c r="L9">
        <v>-598.99300000000005</v>
      </c>
      <c r="M9" t="str">
        <f t="shared" si="0"/>
        <v>1:1 Mob</v>
      </c>
    </row>
    <row r="10" spans="1:13" x14ac:dyDescent="0.35">
      <c r="A10" t="s">
        <v>21</v>
      </c>
      <c r="B10" t="s">
        <v>13</v>
      </c>
      <c r="C10">
        <v>57373</v>
      </c>
      <c r="D10">
        <v>27121</v>
      </c>
      <c r="E10">
        <v>0.47</v>
      </c>
      <c r="F10">
        <v>2940</v>
      </c>
      <c r="G10">
        <v>7.0000000000000007E-2</v>
      </c>
      <c r="H10">
        <v>16946</v>
      </c>
      <c r="I10">
        <v>0.62</v>
      </c>
      <c r="J10">
        <v>14565</v>
      </c>
      <c r="K10">
        <v>321387.88</v>
      </c>
      <c r="L10">
        <v>-2380.616</v>
      </c>
      <c r="M10" t="str">
        <f t="shared" si="0"/>
        <v>1:1 Mob</v>
      </c>
    </row>
    <row r="11" spans="1:13" x14ac:dyDescent="0.35">
      <c r="A11" t="s">
        <v>22</v>
      </c>
      <c r="B11" t="s">
        <v>13</v>
      </c>
      <c r="C11">
        <v>1875</v>
      </c>
      <c r="D11">
        <v>706</v>
      </c>
      <c r="E11">
        <v>0.38</v>
      </c>
      <c r="F11">
        <v>69</v>
      </c>
      <c r="G11">
        <v>7.0000000000000007E-2</v>
      </c>
      <c r="H11">
        <v>485</v>
      </c>
      <c r="I11">
        <v>0.69</v>
      </c>
      <c r="J11">
        <v>409</v>
      </c>
      <c r="K11">
        <v>8946.99</v>
      </c>
      <c r="L11">
        <v>-75.733999999999995</v>
      </c>
      <c r="M11" t="str">
        <f t="shared" si="0"/>
        <v>1:1 Mob</v>
      </c>
    </row>
    <row r="12" spans="1:13" x14ac:dyDescent="0.35">
      <c r="A12" t="s">
        <v>23</v>
      </c>
      <c r="B12" t="s">
        <v>13</v>
      </c>
      <c r="C12">
        <v>721</v>
      </c>
      <c r="D12">
        <v>195</v>
      </c>
      <c r="E12">
        <v>0.27</v>
      </c>
      <c r="F12">
        <v>25</v>
      </c>
      <c r="G12">
        <v>0.09</v>
      </c>
      <c r="H12">
        <v>188</v>
      </c>
      <c r="I12">
        <v>0.97</v>
      </c>
      <c r="J12">
        <v>188</v>
      </c>
      <c r="K12">
        <v>3853.27</v>
      </c>
      <c r="L12">
        <v>0.184</v>
      </c>
      <c r="M12" t="str">
        <f t="shared" si="0"/>
        <v>Exact Desk</v>
      </c>
    </row>
    <row r="13" spans="1:13" x14ac:dyDescent="0.35">
      <c r="A13" t="s">
        <v>24</v>
      </c>
      <c r="B13" t="s">
        <v>13</v>
      </c>
      <c r="C13">
        <v>8053</v>
      </c>
      <c r="D13">
        <v>2678</v>
      </c>
      <c r="E13">
        <v>0.33</v>
      </c>
      <c r="F13">
        <v>392</v>
      </c>
      <c r="G13">
        <v>0.08</v>
      </c>
      <c r="H13">
        <v>2814</v>
      </c>
      <c r="I13">
        <v>1.05</v>
      </c>
      <c r="J13">
        <v>2475</v>
      </c>
      <c r="K13">
        <v>56017.16</v>
      </c>
      <c r="L13">
        <v>-338.63</v>
      </c>
      <c r="M13" t="str">
        <f t="shared" si="0"/>
        <v>Exact Desk</v>
      </c>
    </row>
    <row r="14" spans="1:13" x14ac:dyDescent="0.35">
      <c r="A14" t="s">
        <v>25</v>
      </c>
      <c r="B14" t="s">
        <v>13</v>
      </c>
      <c r="C14">
        <v>2181</v>
      </c>
      <c r="D14">
        <v>539</v>
      </c>
      <c r="E14">
        <v>0.25</v>
      </c>
      <c r="F14">
        <v>70</v>
      </c>
      <c r="G14">
        <v>0.08</v>
      </c>
      <c r="H14">
        <v>577</v>
      </c>
      <c r="I14">
        <v>1.07</v>
      </c>
      <c r="J14">
        <v>449</v>
      </c>
      <c r="K14">
        <v>10689.01</v>
      </c>
      <c r="L14">
        <v>-128.102</v>
      </c>
      <c r="M14" t="str">
        <f t="shared" si="0"/>
        <v>Exact Desk</v>
      </c>
    </row>
    <row r="15" spans="1:13" x14ac:dyDescent="0.35">
      <c r="A15" t="s">
        <v>26</v>
      </c>
      <c r="B15" t="s">
        <v>13</v>
      </c>
      <c r="C15">
        <v>656</v>
      </c>
      <c r="D15">
        <v>168</v>
      </c>
      <c r="E15">
        <v>0.26</v>
      </c>
      <c r="F15">
        <v>29</v>
      </c>
      <c r="G15">
        <v>0.17</v>
      </c>
      <c r="H15">
        <v>65</v>
      </c>
      <c r="I15">
        <v>0.39</v>
      </c>
      <c r="J15">
        <v>84</v>
      </c>
      <c r="K15">
        <v>2097.29</v>
      </c>
      <c r="L15">
        <v>19.218</v>
      </c>
      <c r="M15" t="str">
        <f t="shared" si="0"/>
        <v>Exact Desk</v>
      </c>
    </row>
    <row r="16" spans="1:13" x14ac:dyDescent="0.35">
      <c r="A16" t="s">
        <v>27</v>
      </c>
      <c r="B16" t="s">
        <v>13</v>
      </c>
      <c r="C16">
        <v>490</v>
      </c>
      <c r="D16">
        <v>115</v>
      </c>
      <c r="E16">
        <v>0.23</v>
      </c>
      <c r="F16">
        <v>26</v>
      </c>
      <c r="G16">
        <v>0.12</v>
      </c>
      <c r="H16">
        <v>221</v>
      </c>
      <c r="I16">
        <v>1.92</v>
      </c>
      <c r="J16">
        <v>149</v>
      </c>
      <c r="K16">
        <v>3058.02</v>
      </c>
      <c r="L16">
        <v>-71.828999999999994</v>
      </c>
      <c r="M16" t="str">
        <f t="shared" si="0"/>
        <v>Exact Desk</v>
      </c>
    </row>
    <row r="17" spans="1:13" x14ac:dyDescent="0.35">
      <c r="A17" t="s">
        <v>28</v>
      </c>
      <c r="B17" t="s">
        <v>13</v>
      </c>
      <c r="C17">
        <v>7366</v>
      </c>
      <c r="D17">
        <v>2693</v>
      </c>
      <c r="E17">
        <v>0.37</v>
      </c>
      <c r="F17">
        <v>536</v>
      </c>
      <c r="G17">
        <v>0.11</v>
      </c>
      <c r="H17">
        <v>3469</v>
      </c>
      <c r="I17">
        <v>1.29</v>
      </c>
      <c r="J17">
        <v>3089</v>
      </c>
      <c r="K17">
        <v>68146.259999999995</v>
      </c>
      <c r="L17">
        <v>-380.31</v>
      </c>
      <c r="M17" t="str">
        <f t="shared" si="0"/>
        <v>Exact Desk</v>
      </c>
    </row>
    <row r="18" spans="1:13" x14ac:dyDescent="0.35">
      <c r="A18" t="s">
        <v>29</v>
      </c>
      <c r="B18" t="s">
        <v>13</v>
      </c>
      <c r="C18">
        <v>6318</v>
      </c>
      <c r="D18">
        <v>598</v>
      </c>
      <c r="E18">
        <v>0.09</v>
      </c>
      <c r="F18">
        <v>46</v>
      </c>
      <c r="G18">
        <v>7.0000000000000007E-2</v>
      </c>
      <c r="H18">
        <v>416</v>
      </c>
      <c r="I18">
        <v>0.7</v>
      </c>
      <c r="J18">
        <v>278</v>
      </c>
      <c r="K18">
        <v>5552.73</v>
      </c>
      <c r="L18">
        <v>-138.32499999999999</v>
      </c>
      <c r="M18" t="str">
        <f t="shared" si="0"/>
        <v>Exact Desk</v>
      </c>
    </row>
    <row r="19" spans="1:13" x14ac:dyDescent="0.35">
      <c r="A19" t="s">
        <v>30</v>
      </c>
      <c r="B19" t="s">
        <v>13</v>
      </c>
      <c r="C19">
        <v>1771</v>
      </c>
      <c r="D19">
        <v>594</v>
      </c>
      <c r="E19">
        <v>0.34</v>
      </c>
      <c r="F19">
        <v>34</v>
      </c>
      <c r="G19">
        <v>0.05</v>
      </c>
      <c r="H19">
        <v>272</v>
      </c>
      <c r="I19">
        <v>0.46</v>
      </c>
      <c r="J19">
        <v>177</v>
      </c>
      <c r="K19">
        <v>3576.13</v>
      </c>
      <c r="L19">
        <v>-95.427999999999997</v>
      </c>
      <c r="M19" t="str">
        <f t="shared" si="0"/>
        <v>Exact Mob</v>
      </c>
    </row>
    <row r="20" spans="1:13" x14ac:dyDescent="0.35">
      <c r="A20" t="s">
        <v>31</v>
      </c>
      <c r="B20" t="s">
        <v>13</v>
      </c>
      <c r="C20">
        <v>27672</v>
      </c>
      <c r="D20">
        <v>9335</v>
      </c>
      <c r="E20">
        <v>0.34</v>
      </c>
      <c r="F20">
        <v>478</v>
      </c>
      <c r="G20">
        <v>0.04</v>
      </c>
      <c r="H20">
        <v>4105</v>
      </c>
      <c r="I20">
        <v>0.44</v>
      </c>
      <c r="J20">
        <v>2783</v>
      </c>
      <c r="K20">
        <v>62357.68</v>
      </c>
      <c r="L20">
        <v>-1321.6089999999999</v>
      </c>
      <c r="M20" t="str">
        <f t="shared" si="0"/>
        <v>Exact Mob</v>
      </c>
    </row>
    <row r="21" spans="1:13" x14ac:dyDescent="0.35">
      <c r="A21" t="s">
        <v>32</v>
      </c>
      <c r="B21" t="s">
        <v>13</v>
      </c>
      <c r="C21">
        <v>6278</v>
      </c>
      <c r="D21">
        <v>1506</v>
      </c>
      <c r="E21">
        <v>0.24</v>
      </c>
      <c r="F21">
        <v>59</v>
      </c>
      <c r="G21">
        <v>0.03</v>
      </c>
      <c r="H21">
        <v>817</v>
      </c>
      <c r="I21">
        <v>0.54</v>
      </c>
      <c r="J21">
        <v>313</v>
      </c>
      <c r="K21">
        <v>6420.67</v>
      </c>
      <c r="L21">
        <v>-504.33199999999999</v>
      </c>
      <c r="M21" t="str">
        <f t="shared" si="0"/>
        <v>Exact Mob</v>
      </c>
    </row>
    <row r="22" spans="1:13" x14ac:dyDescent="0.35">
      <c r="A22" t="s">
        <v>33</v>
      </c>
      <c r="B22" t="s">
        <v>13</v>
      </c>
      <c r="C22">
        <v>881</v>
      </c>
      <c r="D22">
        <v>272</v>
      </c>
      <c r="E22">
        <v>0.31</v>
      </c>
      <c r="F22">
        <v>15</v>
      </c>
      <c r="G22">
        <v>7.0000000000000007E-2</v>
      </c>
      <c r="H22">
        <v>63</v>
      </c>
      <c r="I22">
        <v>0.23</v>
      </c>
      <c r="J22">
        <v>22</v>
      </c>
      <c r="K22">
        <v>507.9</v>
      </c>
      <c r="L22">
        <v>-40.58</v>
      </c>
      <c r="M22" t="str">
        <f t="shared" si="0"/>
        <v>Exact Mob</v>
      </c>
    </row>
    <row r="23" spans="1:13" x14ac:dyDescent="0.35">
      <c r="A23" t="s">
        <v>34</v>
      </c>
      <c r="B23" t="s">
        <v>13</v>
      </c>
      <c r="C23">
        <v>1029</v>
      </c>
      <c r="D23">
        <v>256</v>
      </c>
      <c r="E23">
        <v>0.25</v>
      </c>
      <c r="F23">
        <v>24</v>
      </c>
      <c r="G23">
        <v>7.0000000000000007E-2</v>
      </c>
      <c r="H23">
        <v>212</v>
      </c>
      <c r="I23">
        <v>0.83</v>
      </c>
      <c r="J23">
        <v>208</v>
      </c>
      <c r="K23">
        <v>4425.49</v>
      </c>
      <c r="L23">
        <v>-3.5089999999999999</v>
      </c>
      <c r="M23" t="str">
        <f t="shared" si="0"/>
        <v>Exact Mob</v>
      </c>
    </row>
    <row r="24" spans="1:13" x14ac:dyDescent="0.35">
      <c r="A24" t="s">
        <v>35</v>
      </c>
      <c r="B24" t="s">
        <v>13</v>
      </c>
      <c r="C24">
        <v>17771</v>
      </c>
      <c r="D24">
        <v>6635</v>
      </c>
      <c r="E24">
        <v>0.37</v>
      </c>
      <c r="F24">
        <v>590</v>
      </c>
      <c r="G24">
        <v>0.06</v>
      </c>
      <c r="H24">
        <v>4404</v>
      </c>
      <c r="I24">
        <v>0.66</v>
      </c>
      <c r="J24">
        <v>3444</v>
      </c>
      <c r="K24">
        <v>78127.289999999994</v>
      </c>
      <c r="L24">
        <v>-959.71799999999996</v>
      </c>
      <c r="M24" t="str">
        <f t="shared" si="0"/>
        <v>Exact Mob</v>
      </c>
    </row>
    <row r="25" spans="1:13" x14ac:dyDescent="0.35">
      <c r="A25" t="s">
        <v>36</v>
      </c>
      <c r="B25" t="s">
        <v>13</v>
      </c>
      <c r="C25">
        <v>9812</v>
      </c>
      <c r="D25">
        <v>1008</v>
      </c>
      <c r="E25">
        <v>0.1</v>
      </c>
      <c r="F25">
        <v>42</v>
      </c>
      <c r="G25">
        <v>0.04</v>
      </c>
      <c r="H25">
        <v>413</v>
      </c>
      <c r="I25">
        <v>0.41</v>
      </c>
      <c r="J25">
        <v>202</v>
      </c>
      <c r="K25">
        <v>4242.7</v>
      </c>
      <c r="L25">
        <v>-210.84399999999999</v>
      </c>
      <c r="M25" t="str">
        <f t="shared" si="0"/>
        <v>Exact Mob</v>
      </c>
    </row>
    <row r="26" spans="1:13" x14ac:dyDescent="0.35">
      <c r="A26" t="s">
        <v>37</v>
      </c>
      <c r="B26" t="s">
        <v>13</v>
      </c>
      <c r="C26">
        <v>36</v>
      </c>
      <c r="D26">
        <v>5</v>
      </c>
      <c r="E26">
        <v>0.14000000000000001</v>
      </c>
      <c r="F26">
        <v>2</v>
      </c>
      <c r="G26">
        <v>0.33</v>
      </c>
      <c r="H26">
        <v>5</v>
      </c>
      <c r="I26">
        <v>1.05</v>
      </c>
      <c r="J26">
        <v>13</v>
      </c>
      <c r="K26">
        <v>261.39999999999998</v>
      </c>
      <c r="L26">
        <v>8.07</v>
      </c>
      <c r="M26" t="str">
        <f t="shared" si="0"/>
        <v>Phrase Desk</v>
      </c>
    </row>
    <row r="27" spans="1:13" x14ac:dyDescent="0.35">
      <c r="A27" t="s">
        <v>38</v>
      </c>
      <c r="B27" t="s">
        <v>13</v>
      </c>
      <c r="C27">
        <v>9751</v>
      </c>
      <c r="D27">
        <v>3402</v>
      </c>
      <c r="E27">
        <v>0.35</v>
      </c>
      <c r="F27">
        <v>579</v>
      </c>
      <c r="G27">
        <v>0.1</v>
      </c>
      <c r="H27">
        <v>3792</v>
      </c>
      <c r="I27">
        <v>1.1100000000000001</v>
      </c>
      <c r="J27">
        <v>3547</v>
      </c>
      <c r="K27">
        <v>75564.22</v>
      </c>
      <c r="L27">
        <v>-244.797</v>
      </c>
      <c r="M27" t="str">
        <f t="shared" si="0"/>
        <v>Phrase Desk</v>
      </c>
    </row>
    <row r="28" spans="1:13" x14ac:dyDescent="0.35">
      <c r="A28" t="s">
        <v>39</v>
      </c>
      <c r="B28" t="s">
        <v>13</v>
      </c>
      <c r="C28">
        <v>1062</v>
      </c>
      <c r="D28">
        <v>147</v>
      </c>
      <c r="E28">
        <v>0.14000000000000001</v>
      </c>
      <c r="F28">
        <v>13</v>
      </c>
      <c r="G28">
        <v>0.06</v>
      </c>
      <c r="H28">
        <v>135</v>
      </c>
      <c r="I28">
        <v>0.92</v>
      </c>
      <c r="J28">
        <v>67</v>
      </c>
      <c r="K28">
        <v>1682.55</v>
      </c>
      <c r="L28">
        <v>-68.055000000000007</v>
      </c>
      <c r="M28" t="str">
        <f t="shared" si="0"/>
        <v>Phrase Desk</v>
      </c>
    </row>
    <row r="29" spans="1:13" x14ac:dyDescent="0.35">
      <c r="A29" t="s">
        <v>40</v>
      </c>
      <c r="B29" t="s">
        <v>13</v>
      </c>
      <c r="C29">
        <v>66</v>
      </c>
      <c r="D29">
        <v>8</v>
      </c>
      <c r="E29">
        <v>0.12</v>
      </c>
      <c r="F29">
        <v>0</v>
      </c>
      <c r="G29">
        <v>0</v>
      </c>
      <c r="H29">
        <v>3</v>
      </c>
      <c r="I29">
        <v>0.48</v>
      </c>
      <c r="J29">
        <v>0</v>
      </c>
      <c r="K29">
        <v>0</v>
      </c>
      <c r="L29">
        <v>-3</v>
      </c>
      <c r="M29" t="str">
        <f t="shared" si="0"/>
        <v>Phrase Desk</v>
      </c>
    </row>
    <row r="30" spans="1:13" x14ac:dyDescent="0.35">
      <c r="A30" t="s">
        <v>41</v>
      </c>
      <c r="B30" t="s">
        <v>13</v>
      </c>
      <c r="C30">
        <v>389</v>
      </c>
      <c r="D30">
        <v>54</v>
      </c>
      <c r="E30">
        <v>0.14000000000000001</v>
      </c>
      <c r="F30">
        <v>10</v>
      </c>
      <c r="G30">
        <v>0.19</v>
      </c>
      <c r="H30">
        <v>58</v>
      </c>
      <c r="I30">
        <v>1.0900000000000001</v>
      </c>
      <c r="J30">
        <v>63</v>
      </c>
      <c r="K30">
        <v>1264.52</v>
      </c>
      <c r="L30">
        <v>5.2290000000000001</v>
      </c>
      <c r="M30" t="str">
        <f t="shared" si="0"/>
        <v>Phrase Desk</v>
      </c>
    </row>
    <row r="31" spans="1:13" x14ac:dyDescent="0.35">
      <c r="A31" t="s">
        <v>42</v>
      </c>
      <c r="B31" t="s">
        <v>13</v>
      </c>
      <c r="C31">
        <v>5919</v>
      </c>
      <c r="D31">
        <v>1954</v>
      </c>
      <c r="E31">
        <v>0.33</v>
      </c>
      <c r="F31">
        <v>408</v>
      </c>
      <c r="G31">
        <v>0.12</v>
      </c>
      <c r="H31">
        <v>2396</v>
      </c>
      <c r="I31">
        <v>1.23</v>
      </c>
      <c r="J31">
        <v>2400</v>
      </c>
      <c r="K31">
        <v>50958.58</v>
      </c>
      <c r="L31">
        <v>3.585</v>
      </c>
      <c r="M31" t="str">
        <f t="shared" si="0"/>
        <v>Phrase Desk</v>
      </c>
    </row>
    <row r="32" spans="1:13" x14ac:dyDescent="0.35">
      <c r="A32" t="s">
        <v>43</v>
      </c>
      <c r="B32" t="s">
        <v>13</v>
      </c>
      <c r="C32">
        <v>8180</v>
      </c>
      <c r="D32">
        <v>593</v>
      </c>
      <c r="E32">
        <v>7.0000000000000007E-2</v>
      </c>
      <c r="F32">
        <v>34</v>
      </c>
      <c r="G32">
        <v>7.0000000000000007E-2</v>
      </c>
      <c r="H32">
        <v>426</v>
      </c>
      <c r="I32">
        <v>0.72</v>
      </c>
      <c r="J32">
        <v>232</v>
      </c>
      <c r="K32">
        <v>4631.9399999999996</v>
      </c>
      <c r="L32">
        <v>-194.38499999999999</v>
      </c>
      <c r="M32" t="str">
        <f t="shared" si="0"/>
        <v>Phrase Desk</v>
      </c>
    </row>
    <row r="33" spans="1:13" x14ac:dyDescent="0.35">
      <c r="A33" t="s">
        <v>44</v>
      </c>
      <c r="B33" t="s">
        <v>13</v>
      </c>
      <c r="C33">
        <v>55</v>
      </c>
      <c r="D33">
        <v>11</v>
      </c>
      <c r="E33">
        <v>0.2</v>
      </c>
      <c r="F33">
        <v>2</v>
      </c>
      <c r="G33">
        <v>0.1</v>
      </c>
      <c r="H33">
        <v>5</v>
      </c>
      <c r="I33">
        <v>0.51</v>
      </c>
      <c r="J33">
        <v>16</v>
      </c>
      <c r="K33">
        <v>313.5</v>
      </c>
      <c r="L33">
        <v>10.675000000000001</v>
      </c>
      <c r="M33" t="str">
        <f t="shared" si="0"/>
        <v>Phrase Mob</v>
      </c>
    </row>
    <row r="34" spans="1:13" x14ac:dyDescent="0.35">
      <c r="A34" t="s">
        <v>45</v>
      </c>
      <c r="B34" t="s">
        <v>13</v>
      </c>
      <c r="C34">
        <v>18457</v>
      </c>
      <c r="D34">
        <v>6762</v>
      </c>
      <c r="E34">
        <v>0.37</v>
      </c>
      <c r="F34">
        <v>380</v>
      </c>
      <c r="G34">
        <v>0.04</v>
      </c>
      <c r="H34">
        <v>3660</v>
      </c>
      <c r="I34">
        <v>0.54</v>
      </c>
      <c r="J34">
        <v>2262</v>
      </c>
      <c r="K34">
        <v>49153.07</v>
      </c>
      <c r="L34">
        <v>-1397.7339999999999</v>
      </c>
      <c r="M34" t="str">
        <f t="shared" ref="M34:M65" si="1">IFERROR(
    IF(AND(ISNUMBER(SEARCH("1:1", A34)), ISNUMBER(SEARCH("Desk", A34))), "1:1 Desk",
    IF(AND(ISNUMBER(SEARCH("1:1", A34)), ISNUMBER(SEARCH("Mob", A34))), "1:1 Mob",
    IF(AND(ISNUMBER(SEARCH("Exact", A34)), ISNUMBER(SEARCH("Desk", A34))), "Exact Desk",
    IF(AND(ISNUMBER(SEARCH("Exact", A34)), ISNUMBER(SEARCH("Mob", A34))), "Exact Mob",
    IF(AND(ISNUMBER(SEARCH("Phrase", A34)), ISNUMBER(SEARCH("Desk", A34))), "Phrase Desk",
    IF(AND(ISNUMBER(SEARCH("Phrase", A34)), ISNUMBER(SEARCH("Mob", A34))), "Phrase Mob",
    "Other")))))),
"Other")</f>
        <v>Phrase Mob</v>
      </c>
    </row>
    <row r="35" spans="1:13" x14ac:dyDescent="0.35">
      <c r="A35" t="s">
        <v>46</v>
      </c>
      <c r="B35" t="s">
        <v>13</v>
      </c>
      <c r="C35">
        <v>1813</v>
      </c>
      <c r="D35">
        <v>264</v>
      </c>
      <c r="E35">
        <v>0.15</v>
      </c>
      <c r="F35">
        <v>4</v>
      </c>
      <c r="G35">
        <v>0.01</v>
      </c>
      <c r="H35">
        <v>138</v>
      </c>
      <c r="I35">
        <v>0.53</v>
      </c>
      <c r="J35">
        <v>21</v>
      </c>
      <c r="K35">
        <v>419.62</v>
      </c>
      <c r="L35">
        <v>-117.017</v>
      </c>
      <c r="M35" t="str">
        <f t="shared" si="1"/>
        <v>Phrase Mob</v>
      </c>
    </row>
    <row r="36" spans="1:13" x14ac:dyDescent="0.35">
      <c r="A36" t="s">
        <v>47</v>
      </c>
      <c r="B36" t="s">
        <v>13</v>
      </c>
      <c r="C36">
        <v>118</v>
      </c>
      <c r="D36">
        <v>15</v>
      </c>
      <c r="E36">
        <v>0.13</v>
      </c>
      <c r="F36">
        <v>0</v>
      </c>
      <c r="G36">
        <v>0</v>
      </c>
      <c r="H36">
        <v>6</v>
      </c>
      <c r="I36">
        <v>0.4</v>
      </c>
      <c r="J36">
        <v>0</v>
      </c>
      <c r="K36">
        <v>0</v>
      </c>
      <c r="L36">
        <v>-6</v>
      </c>
      <c r="M36" t="str">
        <f t="shared" si="1"/>
        <v>Phrase Mob</v>
      </c>
    </row>
    <row r="37" spans="1:13" x14ac:dyDescent="0.35">
      <c r="A37" t="s">
        <v>48</v>
      </c>
      <c r="B37" t="s">
        <v>13</v>
      </c>
      <c r="C37">
        <v>593</v>
      </c>
      <c r="D37">
        <v>109</v>
      </c>
      <c r="E37">
        <v>0.18</v>
      </c>
      <c r="F37">
        <v>3</v>
      </c>
      <c r="G37">
        <v>0.04</v>
      </c>
      <c r="H37">
        <v>52</v>
      </c>
      <c r="I37">
        <v>0.49</v>
      </c>
      <c r="J37">
        <v>8</v>
      </c>
      <c r="K37">
        <v>168.54</v>
      </c>
      <c r="L37">
        <v>-43.570999999999998</v>
      </c>
      <c r="M37" t="str">
        <f t="shared" si="1"/>
        <v>Phrase Mob</v>
      </c>
    </row>
    <row r="38" spans="1:13" x14ac:dyDescent="0.35">
      <c r="A38" t="s">
        <v>49</v>
      </c>
      <c r="B38" t="s">
        <v>13</v>
      </c>
      <c r="C38">
        <v>9838</v>
      </c>
      <c r="D38">
        <v>3509</v>
      </c>
      <c r="E38">
        <v>0.36</v>
      </c>
      <c r="F38">
        <v>282</v>
      </c>
      <c r="G38">
        <v>0.06</v>
      </c>
      <c r="H38">
        <v>2562</v>
      </c>
      <c r="I38">
        <v>0.73</v>
      </c>
      <c r="J38">
        <v>1836</v>
      </c>
      <c r="K38">
        <v>41275.06</v>
      </c>
      <c r="L38">
        <v>-725.72199999999998</v>
      </c>
      <c r="M38" t="str">
        <f t="shared" si="1"/>
        <v>Phrase Mob</v>
      </c>
    </row>
    <row r="39" spans="1:13" x14ac:dyDescent="0.35">
      <c r="A39" t="s">
        <v>50</v>
      </c>
      <c r="B39" t="s">
        <v>13</v>
      </c>
      <c r="C39">
        <v>17807</v>
      </c>
      <c r="D39">
        <v>2054</v>
      </c>
      <c r="E39">
        <v>0.12</v>
      </c>
      <c r="F39">
        <v>35</v>
      </c>
      <c r="G39">
        <v>0.03</v>
      </c>
      <c r="H39">
        <v>981</v>
      </c>
      <c r="I39">
        <v>0.48</v>
      </c>
      <c r="J39">
        <v>262</v>
      </c>
      <c r="K39">
        <v>5531.15</v>
      </c>
      <c r="L39">
        <v>-718.56799999999998</v>
      </c>
      <c r="M39" t="str">
        <f t="shared" si="1"/>
        <v>Phrase Mob</v>
      </c>
    </row>
    <row r="40" spans="1:13" x14ac:dyDescent="0.35">
      <c r="A40" t="s">
        <v>21</v>
      </c>
      <c r="B40" t="s">
        <v>51</v>
      </c>
      <c r="C40">
        <v>40627</v>
      </c>
      <c r="D40">
        <v>17655</v>
      </c>
      <c r="E40">
        <v>0.43</v>
      </c>
      <c r="F40">
        <v>1968</v>
      </c>
      <c r="G40">
        <v>7.0000000000000007E-2</v>
      </c>
      <c r="H40">
        <v>12262</v>
      </c>
      <c r="I40">
        <v>0.69</v>
      </c>
      <c r="J40">
        <v>10303</v>
      </c>
      <c r="K40">
        <v>230817.79</v>
      </c>
      <c r="L40">
        <v>-1958.963</v>
      </c>
      <c r="M40" t="str">
        <f t="shared" si="1"/>
        <v>1:1 Mob</v>
      </c>
    </row>
    <row r="41" spans="1:13" x14ac:dyDescent="0.35">
      <c r="A41" t="s">
        <v>16</v>
      </c>
      <c r="B41" t="s">
        <v>51</v>
      </c>
      <c r="C41">
        <v>19648</v>
      </c>
      <c r="D41">
        <v>7673</v>
      </c>
      <c r="E41">
        <v>0.39</v>
      </c>
      <c r="F41">
        <v>1622</v>
      </c>
      <c r="G41">
        <v>0.11</v>
      </c>
      <c r="H41">
        <v>11235</v>
      </c>
      <c r="I41">
        <v>1.46</v>
      </c>
      <c r="J41">
        <v>9928</v>
      </c>
      <c r="K41">
        <v>216628.45</v>
      </c>
      <c r="L41">
        <v>-1307.2729999999999</v>
      </c>
      <c r="M41" t="str">
        <f t="shared" si="1"/>
        <v>1:1 Desk</v>
      </c>
    </row>
    <row r="42" spans="1:13" x14ac:dyDescent="0.35">
      <c r="A42" t="s">
        <v>19</v>
      </c>
      <c r="B42" t="s">
        <v>51</v>
      </c>
      <c r="C42">
        <v>105966</v>
      </c>
      <c r="D42">
        <v>32005</v>
      </c>
      <c r="E42">
        <v>0.3</v>
      </c>
      <c r="F42">
        <v>1530</v>
      </c>
      <c r="G42">
        <v>0.04</v>
      </c>
      <c r="H42">
        <v>10713</v>
      </c>
      <c r="I42">
        <v>0.33</v>
      </c>
      <c r="J42">
        <v>8473</v>
      </c>
      <c r="K42">
        <v>185757.89</v>
      </c>
      <c r="L42">
        <v>-2240.076</v>
      </c>
      <c r="M42" t="str">
        <f t="shared" si="1"/>
        <v>1:1 Mob</v>
      </c>
    </row>
    <row r="43" spans="1:13" x14ac:dyDescent="0.35">
      <c r="A43" t="s">
        <v>14</v>
      </c>
      <c r="B43" t="s">
        <v>51</v>
      </c>
      <c r="C43">
        <v>28499</v>
      </c>
      <c r="D43">
        <v>10141</v>
      </c>
      <c r="E43">
        <v>0.36</v>
      </c>
      <c r="F43">
        <v>1509</v>
      </c>
      <c r="G43">
        <v>0.08</v>
      </c>
      <c r="H43">
        <v>10586</v>
      </c>
      <c r="I43">
        <v>1.04</v>
      </c>
      <c r="J43">
        <v>8859</v>
      </c>
      <c r="K43">
        <v>192105.72</v>
      </c>
      <c r="L43">
        <v>-1727.135</v>
      </c>
      <c r="M43" t="str">
        <f t="shared" si="1"/>
        <v>1:1 Desk</v>
      </c>
    </row>
    <row r="44" spans="1:13" x14ac:dyDescent="0.35">
      <c r="A44" t="s">
        <v>18</v>
      </c>
      <c r="B44" t="s">
        <v>51</v>
      </c>
      <c r="C44">
        <v>34189</v>
      </c>
      <c r="D44">
        <v>13905</v>
      </c>
      <c r="E44">
        <v>0.41</v>
      </c>
      <c r="F44">
        <v>1218</v>
      </c>
      <c r="G44">
        <v>0.06</v>
      </c>
      <c r="H44">
        <v>8146</v>
      </c>
      <c r="I44">
        <v>0.59</v>
      </c>
      <c r="J44">
        <v>6766</v>
      </c>
      <c r="K44">
        <v>148681.16</v>
      </c>
      <c r="L44">
        <v>-1380.3240000000001</v>
      </c>
      <c r="M44" t="str">
        <f t="shared" si="1"/>
        <v>1:1 Mob</v>
      </c>
    </row>
    <row r="45" spans="1:13" x14ac:dyDescent="0.35">
      <c r="A45" t="s">
        <v>12</v>
      </c>
      <c r="B45" t="s">
        <v>51</v>
      </c>
      <c r="C45">
        <v>12790</v>
      </c>
      <c r="D45">
        <v>4983</v>
      </c>
      <c r="E45">
        <v>0.39</v>
      </c>
      <c r="F45">
        <v>897</v>
      </c>
      <c r="G45">
        <v>0.1</v>
      </c>
      <c r="H45">
        <v>6123</v>
      </c>
      <c r="I45">
        <v>1.23</v>
      </c>
      <c r="J45">
        <v>5590</v>
      </c>
      <c r="K45">
        <v>123475.45</v>
      </c>
      <c r="L45">
        <v>-532.53700000000003</v>
      </c>
      <c r="M45" t="str">
        <f t="shared" si="1"/>
        <v>1:1 Desk</v>
      </c>
    </row>
    <row r="46" spans="1:13" x14ac:dyDescent="0.35">
      <c r="A46" t="s">
        <v>28</v>
      </c>
      <c r="B46" t="s">
        <v>51</v>
      </c>
      <c r="C46">
        <v>6561</v>
      </c>
      <c r="D46">
        <v>2328</v>
      </c>
      <c r="E46">
        <v>0.35</v>
      </c>
      <c r="F46">
        <v>498</v>
      </c>
      <c r="G46">
        <v>0.11</v>
      </c>
      <c r="H46">
        <v>3467</v>
      </c>
      <c r="I46">
        <v>1.49</v>
      </c>
      <c r="J46">
        <v>3316</v>
      </c>
      <c r="K46">
        <v>78661</v>
      </c>
      <c r="L46">
        <v>-150.50299999999999</v>
      </c>
      <c r="M46" t="str">
        <f t="shared" si="1"/>
        <v>Exact Desk</v>
      </c>
    </row>
    <row r="47" spans="1:13" x14ac:dyDescent="0.35">
      <c r="A47" t="s">
        <v>35</v>
      </c>
      <c r="B47" t="s">
        <v>51</v>
      </c>
      <c r="C47">
        <v>13488</v>
      </c>
      <c r="D47">
        <v>4605</v>
      </c>
      <c r="E47">
        <v>0.34</v>
      </c>
      <c r="F47">
        <v>435</v>
      </c>
      <c r="G47">
        <v>0.06</v>
      </c>
      <c r="H47">
        <v>2884</v>
      </c>
      <c r="I47">
        <v>0.63</v>
      </c>
      <c r="J47">
        <v>2678</v>
      </c>
      <c r="K47">
        <v>60074.53</v>
      </c>
      <c r="L47">
        <v>-205.99700000000001</v>
      </c>
      <c r="M47" t="str">
        <f t="shared" si="1"/>
        <v>Exact Mob</v>
      </c>
    </row>
    <row r="48" spans="1:13" x14ac:dyDescent="0.35">
      <c r="A48" t="s">
        <v>24</v>
      </c>
      <c r="B48" t="s">
        <v>51</v>
      </c>
      <c r="C48">
        <v>6244</v>
      </c>
      <c r="D48">
        <v>2020</v>
      </c>
      <c r="E48">
        <v>0.32</v>
      </c>
      <c r="F48">
        <v>327</v>
      </c>
      <c r="G48">
        <v>0.09</v>
      </c>
      <c r="H48">
        <v>2267</v>
      </c>
      <c r="I48">
        <v>1.1200000000000001</v>
      </c>
      <c r="J48">
        <v>2115</v>
      </c>
      <c r="K48">
        <v>51885.05</v>
      </c>
      <c r="L48">
        <v>-151.631</v>
      </c>
      <c r="M48" t="str">
        <f t="shared" si="1"/>
        <v>Exact Desk</v>
      </c>
    </row>
    <row r="49" spans="1:13" x14ac:dyDescent="0.35">
      <c r="A49" t="s">
        <v>42</v>
      </c>
      <c r="B49" t="s">
        <v>51</v>
      </c>
      <c r="C49">
        <v>4729</v>
      </c>
      <c r="D49">
        <v>1635</v>
      </c>
      <c r="E49">
        <v>0.35</v>
      </c>
      <c r="F49">
        <v>315</v>
      </c>
      <c r="G49">
        <v>0.11</v>
      </c>
      <c r="H49">
        <v>2229</v>
      </c>
      <c r="I49">
        <v>1.36</v>
      </c>
      <c r="J49">
        <v>2010</v>
      </c>
      <c r="K49">
        <v>44479.12</v>
      </c>
      <c r="L49">
        <v>-218.804</v>
      </c>
      <c r="M49" t="str">
        <f t="shared" si="1"/>
        <v>Phrase Desk</v>
      </c>
    </row>
    <row r="50" spans="1:13" x14ac:dyDescent="0.35">
      <c r="A50" t="s">
        <v>31</v>
      </c>
      <c r="B50" t="s">
        <v>51</v>
      </c>
      <c r="C50">
        <v>16969</v>
      </c>
      <c r="D50">
        <v>5126</v>
      </c>
      <c r="E50">
        <v>0.3</v>
      </c>
      <c r="F50">
        <v>340</v>
      </c>
      <c r="G50">
        <v>0.05</v>
      </c>
      <c r="H50">
        <v>2176</v>
      </c>
      <c r="I50">
        <v>0.42</v>
      </c>
      <c r="J50">
        <v>1992</v>
      </c>
      <c r="K50">
        <v>44234.46</v>
      </c>
      <c r="L50">
        <v>-184.29499999999999</v>
      </c>
      <c r="M50" t="str">
        <f t="shared" si="1"/>
        <v>Exact Mob</v>
      </c>
    </row>
    <row r="51" spans="1:13" x14ac:dyDescent="0.35">
      <c r="A51" t="s">
        <v>38</v>
      </c>
      <c r="B51" t="s">
        <v>51</v>
      </c>
      <c r="C51">
        <v>5283</v>
      </c>
      <c r="D51">
        <v>1632</v>
      </c>
      <c r="E51">
        <v>0.31</v>
      </c>
      <c r="F51">
        <v>226</v>
      </c>
      <c r="G51">
        <v>0.08</v>
      </c>
      <c r="H51">
        <v>1767</v>
      </c>
      <c r="I51">
        <v>1.08</v>
      </c>
      <c r="J51">
        <v>1455</v>
      </c>
      <c r="K51">
        <v>33678.17</v>
      </c>
      <c r="L51">
        <v>-312.26299999999998</v>
      </c>
      <c r="M51" t="str">
        <f t="shared" si="1"/>
        <v>Phrase Desk</v>
      </c>
    </row>
    <row r="52" spans="1:13" x14ac:dyDescent="0.35">
      <c r="A52" t="s">
        <v>20</v>
      </c>
      <c r="B52" t="s">
        <v>51</v>
      </c>
      <c r="C52">
        <v>7544</v>
      </c>
      <c r="D52">
        <v>2523</v>
      </c>
      <c r="E52">
        <v>0.33</v>
      </c>
      <c r="F52">
        <v>216</v>
      </c>
      <c r="G52">
        <v>0.05</v>
      </c>
      <c r="H52">
        <v>1590</v>
      </c>
      <c r="I52">
        <v>0.63</v>
      </c>
      <c r="J52">
        <v>1591</v>
      </c>
      <c r="K52">
        <v>35605.11</v>
      </c>
      <c r="L52">
        <v>1.36</v>
      </c>
      <c r="M52" t="str">
        <f t="shared" si="1"/>
        <v>1:1 Mob</v>
      </c>
    </row>
    <row r="53" spans="1:13" x14ac:dyDescent="0.35">
      <c r="A53" t="s">
        <v>15</v>
      </c>
      <c r="B53" t="s">
        <v>51</v>
      </c>
      <c r="C53">
        <v>2938</v>
      </c>
      <c r="D53">
        <v>1111</v>
      </c>
      <c r="E53">
        <v>0.38</v>
      </c>
      <c r="F53">
        <v>197</v>
      </c>
      <c r="G53">
        <v>0.09</v>
      </c>
      <c r="H53">
        <v>1571</v>
      </c>
      <c r="I53">
        <v>1.41</v>
      </c>
      <c r="J53">
        <v>1203</v>
      </c>
      <c r="K53">
        <v>27608.55</v>
      </c>
      <c r="L53">
        <v>-368.01600000000002</v>
      </c>
      <c r="M53" t="str">
        <f t="shared" si="1"/>
        <v>1:1 Desk</v>
      </c>
    </row>
    <row r="54" spans="1:13" x14ac:dyDescent="0.35">
      <c r="A54" t="s">
        <v>49</v>
      </c>
      <c r="B54" t="s">
        <v>51</v>
      </c>
      <c r="C54">
        <v>7040</v>
      </c>
      <c r="D54">
        <v>2407</v>
      </c>
      <c r="E54">
        <v>0.34</v>
      </c>
      <c r="F54">
        <v>214</v>
      </c>
      <c r="G54">
        <v>0.06</v>
      </c>
      <c r="H54">
        <v>1430</v>
      </c>
      <c r="I54">
        <v>0.59</v>
      </c>
      <c r="J54">
        <v>1373</v>
      </c>
      <c r="K54">
        <v>31563.25</v>
      </c>
      <c r="L54">
        <v>-56.691000000000003</v>
      </c>
      <c r="M54" t="str">
        <f t="shared" si="1"/>
        <v>Phrase Mob</v>
      </c>
    </row>
    <row r="55" spans="1:13" x14ac:dyDescent="0.35">
      <c r="A55" t="s">
        <v>45</v>
      </c>
      <c r="B55" t="s">
        <v>51</v>
      </c>
      <c r="C55">
        <v>8203</v>
      </c>
      <c r="D55">
        <v>2504</v>
      </c>
      <c r="E55">
        <v>0.31</v>
      </c>
      <c r="F55">
        <v>146</v>
      </c>
      <c r="G55">
        <v>0.04</v>
      </c>
      <c r="H55">
        <v>1148</v>
      </c>
      <c r="I55">
        <v>0.46</v>
      </c>
      <c r="J55">
        <v>851</v>
      </c>
      <c r="K55">
        <v>19110.689999999999</v>
      </c>
      <c r="L55">
        <v>-297.27499999999998</v>
      </c>
      <c r="M55" t="str">
        <f t="shared" si="1"/>
        <v>Phrase Mob</v>
      </c>
    </row>
    <row r="56" spans="1:13" x14ac:dyDescent="0.35">
      <c r="A56" t="s">
        <v>25</v>
      </c>
      <c r="B56" t="s">
        <v>51</v>
      </c>
      <c r="C56">
        <v>2263</v>
      </c>
      <c r="D56">
        <v>556</v>
      </c>
      <c r="E56">
        <v>0.25</v>
      </c>
      <c r="F56">
        <v>74</v>
      </c>
      <c r="G56">
        <v>0.08</v>
      </c>
      <c r="H56">
        <v>627</v>
      </c>
      <c r="I56">
        <v>1.1299999999999999</v>
      </c>
      <c r="J56">
        <v>516</v>
      </c>
      <c r="K56">
        <v>11853.27</v>
      </c>
      <c r="L56">
        <v>-111.38500000000001</v>
      </c>
      <c r="M56" t="str">
        <f t="shared" si="1"/>
        <v>Exact Desk</v>
      </c>
    </row>
    <row r="57" spans="1:13" x14ac:dyDescent="0.35">
      <c r="A57" t="s">
        <v>43</v>
      </c>
      <c r="B57" t="s">
        <v>51</v>
      </c>
      <c r="C57">
        <v>6770</v>
      </c>
      <c r="D57">
        <v>629</v>
      </c>
      <c r="E57">
        <v>0.09</v>
      </c>
      <c r="F57">
        <v>37</v>
      </c>
      <c r="G57">
        <v>0.06</v>
      </c>
      <c r="H57">
        <v>486</v>
      </c>
      <c r="I57">
        <v>0.77</v>
      </c>
      <c r="J57">
        <v>240</v>
      </c>
      <c r="K57">
        <v>5356.52</v>
      </c>
      <c r="L57">
        <v>-245.86</v>
      </c>
      <c r="M57" t="str">
        <f t="shared" si="1"/>
        <v>Phrase Desk</v>
      </c>
    </row>
    <row r="58" spans="1:13" x14ac:dyDescent="0.35">
      <c r="A58" t="s">
        <v>32</v>
      </c>
      <c r="B58" t="s">
        <v>51</v>
      </c>
      <c r="C58">
        <v>3973</v>
      </c>
      <c r="D58">
        <v>933</v>
      </c>
      <c r="E58">
        <v>0.23</v>
      </c>
      <c r="F58">
        <v>52</v>
      </c>
      <c r="G58">
        <v>0.04</v>
      </c>
      <c r="H58">
        <v>406</v>
      </c>
      <c r="I58">
        <v>0.44</v>
      </c>
      <c r="J58">
        <v>470</v>
      </c>
      <c r="K58">
        <v>11817.23</v>
      </c>
      <c r="L58">
        <v>64.046000000000006</v>
      </c>
      <c r="M58" t="str">
        <f t="shared" si="1"/>
        <v>Exact Mob</v>
      </c>
    </row>
    <row r="59" spans="1:13" x14ac:dyDescent="0.35">
      <c r="A59" t="s">
        <v>50</v>
      </c>
      <c r="B59" t="s">
        <v>51</v>
      </c>
      <c r="C59">
        <v>7044</v>
      </c>
      <c r="D59">
        <v>947</v>
      </c>
      <c r="E59">
        <v>0.13</v>
      </c>
      <c r="F59">
        <v>35</v>
      </c>
      <c r="G59">
        <v>0.04</v>
      </c>
      <c r="H59">
        <v>401</v>
      </c>
      <c r="I59">
        <v>0.42</v>
      </c>
      <c r="J59">
        <v>285</v>
      </c>
      <c r="K59">
        <v>5960.76</v>
      </c>
      <c r="L59">
        <v>-116.499</v>
      </c>
      <c r="M59" t="str">
        <f t="shared" si="1"/>
        <v>Phrase Mob</v>
      </c>
    </row>
    <row r="60" spans="1:13" x14ac:dyDescent="0.35">
      <c r="A60" t="s">
        <v>22</v>
      </c>
      <c r="B60" t="s">
        <v>51</v>
      </c>
      <c r="C60">
        <v>1489</v>
      </c>
      <c r="D60">
        <v>472</v>
      </c>
      <c r="E60">
        <v>0.32</v>
      </c>
      <c r="F60">
        <v>61</v>
      </c>
      <c r="G60">
        <v>0.08</v>
      </c>
      <c r="H60">
        <v>347</v>
      </c>
      <c r="I60">
        <v>0.74</v>
      </c>
      <c r="J60">
        <v>295</v>
      </c>
      <c r="K60">
        <v>6494.87</v>
      </c>
      <c r="L60">
        <v>-52.103000000000002</v>
      </c>
      <c r="M60" t="str">
        <f t="shared" si="1"/>
        <v>1:1 Mob</v>
      </c>
    </row>
    <row r="61" spans="1:13" x14ac:dyDescent="0.35">
      <c r="A61" t="s">
        <v>17</v>
      </c>
      <c r="B61" t="s">
        <v>51</v>
      </c>
      <c r="C61">
        <v>745</v>
      </c>
      <c r="D61">
        <v>240</v>
      </c>
      <c r="E61">
        <v>0.32</v>
      </c>
      <c r="F61">
        <v>52</v>
      </c>
      <c r="G61">
        <v>0.11</v>
      </c>
      <c r="H61">
        <v>343</v>
      </c>
      <c r="I61">
        <v>1.43</v>
      </c>
      <c r="J61">
        <v>346</v>
      </c>
      <c r="K61">
        <v>7835.88</v>
      </c>
      <c r="L61">
        <v>3.1709999999999998</v>
      </c>
      <c r="M61" t="str">
        <f t="shared" si="1"/>
        <v>1:1 Desk</v>
      </c>
    </row>
    <row r="62" spans="1:13" x14ac:dyDescent="0.35">
      <c r="A62" t="s">
        <v>27</v>
      </c>
      <c r="B62" t="s">
        <v>51</v>
      </c>
      <c r="C62">
        <v>613</v>
      </c>
      <c r="D62">
        <v>163</v>
      </c>
      <c r="E62">
        <v>0.27</v>
      </c>
      <c r="F62">
        <v>39</v>
      </c>
      <c r="G62">
        <v>0.12</v>
      </c>
      <c r="H62">
        <v>329</v>
      </c>
      <c r="I62">
        <v>2.02</v>
      </c>
      <c r="J62">
        <v>274</v>
      </c>
      <c r="K62">
        <v>5752.61</v>
      </c>
      <c r="L62">
        <v>-54.539000000000001</v>
      </c>
      <c r="M62" t="str">
        <f t="shared" si="1"/>
        <v>Exact Desk</v>
      </c>
    </row>
    <row r="63" spans="1:13" x14ac:dyDescent="0.35">
      <c r="A63" t="s">
        <v>29</v>
      </c>
      <c r="B63" t="s">
        <v>51</v>
      </c>
      <c r="C63">
        <v>3187</v>
      </c>
      <c r="D63">
        <v>341</v>
      </c>
      <c r="E63">
        <v>0.11</v>
      </c>
      <c r="F63">
        <v>20</v>
      </c>
      <c r="G63">
        <v>0.04</v>
      </c>
      <c r="H63">
        <v>273</v>
      </c>
      <c r="I63">
        <v>0.8</v>
      </c>
      <c r="J63">
        <v>162</v>
      </c>
      <c r="K63">
        <v>3395.73</v>
      </c>
      <c r="L63">
        <v>-110.746</v>
      </c>
      <c r="M63" t="str">
        <f t="shared" si="1"/>
        <v>Exact Desk</v>
      </c>
    </row>
    <row r="64" spans="1:13" x14ac:dyDescent="0.35">
      <c r="A64" t="s">
        <v>36</v>
      </c>
      <c r="B64" t="s">
        <v>51</v>
      </c>
      <c r="C64">
        <v>3884</v>
      </c>
      <c r="D64">
        <v>565</v>
      </c>
      <c r="E64">
        <v>0.15</v>
      </c>
      <c r="F64">
        <v>27</v>
      </c>
      <c r="G64">
        <v>0.04</v>
      </c>
      <c r="H64">
        <v>229</v>
      </c>
      <c r="I64">
        <v>0.41</v>
      </c>
      <c r="J64">
        <v>173</v>
      </c>
      <c r="K64">
        <v>3888.51</v>
      </c>
      <c r="L64">
        <v>-55.92</v>
      </c>
      <c r="M64" t="str">
        <f t="shared" si="1"/>
        <v>Exact Mob</v>
      </c>
    </row>
    <row r="65" spans="1:13" x14ac:dyDescent="0.35">
      <c r="A65" t="s">
        <v>41</v>
      </c>
      <c r="B65" t="s">
        <v>51</v>
      </c>
      <c r="C65">
        <v>618</v>
      </c>
      <c r="D65">
        <v>149</v>
      </c>
      <c r="E65">
        <v>0.24</v>
      </c>
      <c r="F65">
        <v>25</v>
      </c>
      <c r="G65">
        <v>0.09</v>
      </c>
      <c r="H65">
        <v>182</v>
      </c>
      <c r="I65">
        <v>1.23</v>
      </c>
      <c r="J65">
        <v>106</v>
      </c>
      <c r="K65">
        <v>2205.34</v>
      </c>
      <c r="L65">
        <v>-76.221999999999994</v>
      </c>
      <c r="M65" t="str">
        <f t="shared" si="1"/>
        <v>Phrase Desk</v>
      </c>
    </row>
    <row r="66" spans="1:13" x14ac:dyDescent="0.35">
      <c r="A66" t="s">
        <v>34</v>
      </c>
      <c r="B66" t="s">
        <v>51</v>
      </c>
      <c r="C66">
        <v>986</v>
      </c>
      <c r="D66">
        <v>248</v>
      </c>
      <c r="E66">
        <v>0.25</v>
      </c>
      <c r="F66">
        <v>24</v>
      </c>
      <c r="G66">
        <v>0.06</v>
      </c>
      <c r="H66">
        <v>177</v>
      </c>
      <c r="I66">
        <v>0.71</v>
      </c>
      <c r="J66">
        <v>162</v>
      </c>
      <c r="K66">
        <v>3563.44</v>
      </c>
      <c r="L66">
        <v>-14.789</v>
      </c>
      <c r="M66" t="str">
        <f t="shared" ref="M66:M97" si="2">IFERROR(
    IF(AND(ISNUMBER(SEARCH("1:1", A66)), ISNUMBER(SEARCH("Desk", A66))), "1:1 Desk",
    IF(AND(ISNUMBER(SEARCH("1:1", A66)), ISNUMBER(SEARCH("Mob", A66))), "1:1 Mob",
    IF(AND(ISNUMBER(SEARCH("Exact", A66)), ISNUMBER(SEARCH("Desk", A66))), "Exact Desk",
    IF(AND(ISNUMBER(SEARCH("Exact", A66)), ISNUMBER(SEARCH("Mob", A66))), "Exact Mob",
    IF(AND(ISNUMBER(SEARCH("Phrase", A66)), ISNUMBER(SEARCH("Desk", A66))), "Phrase Desk",
    IF(AND(ISNUMBER(SEARCH("Phrase", A66)), ISNUMBER(SEARCH("Mob", A66))), "Phrase Mob",
    "Other")))))),
"Other")</f>
        <v>Exact Mob</v>
      </c>
    </row>
    <row r="67" spans="1:13" x14ac:dyDescent="0.35">
      <c r="A67" t="s">
        <v>39</v>
      </c>
      <c r="B67" t="s">
        <v>51</v>
      </c>
      <c r="C67">
        <v>1088</v>
      </c>
      <c r="D67">
        <v>159</v>
      </c>
      <c r="E67">
        <v>0.15</v>
      </c>
      <c r="F67">
        <v>15</v>
      </c>
      <c r="G67">
        <v>0.06</v>
      </c>
      <c r="H67">
        <v>163</v>
      </c>
      <c r="I67">
        <v>1.03</v>
      </c>
      <c r="J67">
        <v>87</v>
      </c>
      <c r="K67">
        <v>1955.08</v>
      </c>
      <c r="L67">
        <v>-76.293999999999997</v>
      </c>
      <c r="M67" t="str">
        <f t="shared" si="2"/>
        <v>Phrase Desk</v>
      </c>
    </row>
    <row r="68" spans="1:13" x14ac:dyDescent="0.35">
      <c r="A68" t="s">
        <v>23</v>
      </c>
      <c r="B68" t="s">
        <v>51</v>
      </c>
      <c r="C68">
        <v>591</v>
      </c>
      <c r="D68">
        <v>153</v>
      </c>
      <c r="E68">
        <v>0.26</v>
      </c>
      <c r="F68">
        <v>24</v>
      </c>
      <c r="G68">
        <v>0.1</v>
      </c>
      <c r="H68">
        <v>161</v>
      </c>
      <c r="I68">
        <v>1.05</v>
      </c>
      <c r="J68">
        <v>173</v>
      </c>
      <c r="K68">
        <v>3503.52</v>
      </c>
      <c r="L68">
        <v>12.192</v>
      </c>
      <c r="M68" t="str">
        <f t="shared" si="2"/>
        <v>Exact Desk</v>
      </c>
    </row>
    <row r="69" spans="1:13" x14ac:dyDescent="0.35">
      <c r="A69" t="s">
        <v>30</v>
      </c>
      <c r="B69" t="s">
        <v>51</v>
      </c>
      <c r="C69">
        <v>1113</v>
      </c>
      <c r="D69">
        <v>333</v>
      </c>
      <c r="E69">
        <v>0.3</v>
      </c>
      <c r="F69">
        <v>14</v>
      </c>
      <c r="G69">
        <v>0.04</v>
      </c>
      <c r="H69">
        <v>142</v>
      </c>
      <c r="I69">
        <v>0.43</v>
      </c>
      <c r="J69">
        <v>76</v>
      </c>
      <c r="K69">
        <v>1876.34</v>
      </c>
      <c r="L69">
        <v>-65.527000000000001</v>
      </c>
      <c r="M69" t="str">
        <f t="shared" si="2"/>
        <v>Exact Mob</v>
      </c>
    </row>
    <row r="70" spans="1:13" x14ac:dyDescent="0.35">
      <c r="A70" t="s">
        <v>46</v>
      </c>
      <c r="B70" t="s">
        <v>51</v>
      </c>
      <c r="C70">
        <v>1303</v>
      </c>
      <c r="D70">
        <v>233</v>
      </c>
      <c r="E70">
        <v>0.18</v>
      </c>
      <c r="F70">
        <v>9</v>
      </c>
      <c r="G70">
        <v>0.03</v>
      </c>
      <c r="H70">
        <v>111</v>
      </c>
      <c r="I70">
        <v>0.48</v>
      </c>
      <c r="J70">
        <v>51</v>
      </c>
      <c r="K70">
        <v>1025.9100000000001</v>
      </c>
      <c r="L70">
        <v>-59.698999999999998</v>
      </c>
      <c r="M70" t="str">
        <f t="shared" si="2"/>
        <v>Phrase Mob</v>
      </c>
    </row>
    <row r="71" spans="1:13" x14ac:dyDescent="0.35">
      <c r="A71" t="s">
        <v>48</v>
      </c>
      <c r="B71" t="s">
        <v>51</v>
      </c>
      <c r="C71">
        <v>689</v>
      </c>
      <c r="D71">
        <v>172</v>
      </c>
      <c r="E71">
        <v>0.25</v>
      </c>
      <c r="F71">
        <v>13</v>
      </c>
      <c r="G71">
        <v>0.05</v>
      </c>
      <c r="H71">
        <v>89</v>
      </c>
      <c r="I71">
        <v>0.52</v>
      </c>
      <c r="J71">
        <v>57</v>
      </c>
      <c r="K71">
        <v>1226.22</v>
      </c>
      <c r="L71">
        <v>-31.684999999999999</v>
      </c>
      <c r="M71" t="str">
        <f t="shared" si="2"/>
        <v>Phrase Mob</v>
      </c>
    </row>
    <row r="72" spans="1:13" x14ac:dyDescent="0.35">
      <c r="A72" t="s">
        <v>26</v>
      </c>
      <c r="B72" t="s">
        <v>51</v>
      </c>
      <c r="C72">
        <v>678</v>
      </c>
      <c r="D72">
        <v>163</v>
      </c>
      <c r="E72">
        <v>0.24</v>
      </c>
      <c r="F72">
        <v>28</v>
      </c>
      <c r="G72">
        <v>0.17</v>
      </c>
      <c r="H72">
        <v>76</v>
      </c>
      <c r="I72">
        <v>0.47</v>
      </c>
      <c r="J72">
        <v>70</v>
      </c>
      <c r="K72">
        <v>1509.18</v>
      </c>
      <c r="L72">
        <v>-6.11</v>
      </c>
      <c r="M72" t="str">
        <f t="shared" si="2"/>
        <v>Exact Desk</v>
      </c>
    </row>
    <row r="73" spans="1:13" x14ac:dyDescent="0.35">
      <c r="A73" t="s">
        <v>33</v>
      </c>
      <c r="B73" t="s">
        <v>51</v>
      </c>
      <c r="C73">
        <v>817</v>
      </c>
      <c r="D73">
        <v>274</v>
      </c>
      <c r="E73">
        <v>0.34</v>
      </c>
      <c r="F73">
        <v>19</v>
      </c>
      <c r="G73">
        <v>7.0000000000000007E-2</v>
      </c>
      <c r="H73">
        <v>68</v>
      </c>
      <c r="I73">
        <v>0.25</v>
      </c>
      <c r="J73">
        <v>29</v>
      </c>
      <c r="K73">
        <v>650.73</v>
      </c>
      <c r="L73">
        <v>-39.015999999999998</v>
      </c>
      <c r="M73" t="str">
        <f t="shared" si="2"/>
        <v>Exact Mob</v>
      </c>
    </row>
    <row r="74" spans="1:13" x14ac:dyDescent="0.35">
      <c r="A74" t="s">
        <v>47</v>
      </c>
      <c r="B74" t="s">
        <v>51</v>
      </c>
      <c r="C74">
        <v>111</v>
      </c>
      <c r="D74">
        <v>27</v>
      </c>
      <c r="E74">
        <v>0.24</v>
      </c>
      <c r="F74">
        <v>0</v>
      </c>
      <c r="G74">
        <v>0</v>
      </c>
      <c r="H74">
        <v>8</v>
      </c>
      <c r="I74">
        <v>0.3</v>
      </c>
      <c r="J74">
        <v>0</v>
      </c>
      <c r="K74">
        <v>0</v>
      </c>
      <c r="L74">
        <v>-8</v>
      </c>
      <c r="M74" t="str">
        <f t="shared" si="2"/>
        <v>Phrase Mob</v>
      </c>
    </row>
    <row r="75" spans="1:13" x14ac:dyDescent="0.35">
      <c r="A75" t="s">
        <v>44</v>
      </c>
      <c r="B75" t="s">
        <v>51</v>
      </c>
      <c r="C75">
        <v>50</v>
      </c>
      <c r="D75">
        <v>13</v>
      </c>
      <c r="E75">
        <v>0.26</v>
      </c>
      <c r="F75">
        <v>3</v>
      </c>
      <c r="G75">
        <v>0.13</v>
      </c>
      <c r="H75">
        <v>6</v>
      </c>
      <c r="I75">
        <v>0.53</v>
      </c>
      <c r="J75">
        <v>41</v>
      </c>
      <c r="K75">
        <v>822.51</v>
      </c>
      <c r="L75">
        <v>35.131999999999998</v>
      </c>
      <c r="M75" t="str">
        <f t="shared" si="2"/>
        <v>Phrase Mob</v>
      </c>
    </row>
    <row r="76" spans="1:13" x14ac:dyDescent="0.35">
      <c r="A76" t="s">
        <v>40</v>
      </c>
      <c r="B76" t="s">
        <v>51</v>
      </c>
      <c r="C76">
        <v>67</v>
      </c>
      <c r="D76">
        <v>8</v>
      </c>
      <c r="E76">
        <v>0.12</v>
      </c>
      <c r="F76">
        <v>1</v>
      </c>
      <c r="G76">
        <v>7.0000000000000007E-2</v>
      </c>
      <c r="H76">
        <v>6</v>
      </c>
      <c r="I76">
        <v>0.81</v>
      </c>
      <c r="J76">
        <v>0</v>
      </c>
      <c r="K76">
        <v>5.96</v>
      </c>
      <c r="L76">
        <v>-5.702</v>
      </c>
      <c r="M76" t="str">
        <f t="shared" si="2"/>
        <v>Phrase Desk</v>
      </c>
    </row>
    <row r="77" spans="1:13" x14ac:dyDescent="0.35">
      <c r="A77" t="s">
        <v>37</v>
      </c>
      <c r="B77" t="s">
        <v>51</v>
      </c>
      <c r="C77">
        <v>35</v>
      </c>
      <c r="D77">
        <v>3</v>
      </c>
      <c r="E77">
        <v>0.09</v>
      </c>
      <c r="F77">
        <v>0</v>
      </c>
      <c r="G77">
        <v>0</v>
      </c>
      <c r="H77">
        <v>1</v>
      </c>
      <c r="I77">
        <v>0.62</v>
      </c>
      <c r="J77">
        <v>0</v>
      </c>
      <c r="K77">
        <v>0</v>
      </c>
      <c r="L77">
        <v>-1</v>
      </c>
      <c r="M77" t="str">
        <f t="shared" si="2"/>
        <v>Phrase Desk</v>
      </c>
    </row>
    <row r="78" spans="1:13" x14ac:dyDescent="0.35">
      <c r="A78" t="s">
        <v>19</v>
      </c>
      <c r="B78" t="s">
        <v>52</v>
      </c>
      <c r="C78">
        <v>90806</v>
      </c>
      <c r="D78">
        <v>40622</v>
      </c>
      <c r="E78">
        <v>0.45</v>
      </c>
      <c r="F78">
        <v>1421</v>
      </c>
      <c r="G78">
        <v>0.03</v>
      </c>
      <c r="H78">
        <v>10904</v>
      </c>
      <c r="I78">
        <v>0.27</v>
      </c>
      <c r="J78">
        <v>7891</v>
      </c>
      <c r="K78">
        <v>170418.87</v>
      </c>
      <c r="L78">
        <v>-3012.91</v>
      </c>
      <c r="M78" t="str">
        <f t="shared" si="2"/>
        <v>1:1 Mob</v>
      </c>
    </row>
    <row r="79" spans="1:13" x14ac:dyDescent="0.35">
      <c r="A79" t="s">
        <v>21</v>
      </c>
      <c r="B79" t="s">
        <v>52</v>
      </c>
      <c r="C79">
        <v>32462</v>
      </c>
      <c r="D79">
        <v>14427</v>
      </c>
      <c r="E79">
        <v>0.44</v>
      </c>
      <c r="F79">
        <v>1510</v>
      </c>
      <c r="G79">
        <v>0.06</v>
      </c>
      <c r="H79">
        <v>9562</v>
      </c>
      <c r="I79">
        <v>0.66</v>
      </c>
      <c r="J79">
        <v>8838</v>
      </c>
      <c r="K79">
        <v>196210.87</v>
      </c>
      <c r="L79">
        <v>-724.15300000000002</v>
      </c>
      <c r="M79" t="str">
        <f t="shared" si="2"/>
        <v>1:1 Mob</v>
      </c>
    </row>
    <row r="80" spans="1:13" x14ac:dyDescent="0.35">
      <c r="A80" t="s">
        <v>16</v>
      </c>
      <c r="B80" t="s">
        <v>52</v>
      </c>
      <c r="C80">
        <v>15673</v>
      </c>
      <c r="D80">
        <v>6199</v>
      </c>
      <c r="E80">
        <v>0.4</v>
      </c>
      <c r="F80">
        <v>1242</v>
      </c>
      <c r="G80">
        <v>0.11</v>
      </c>
      <c r="H80">
        <v>9163</v>
      </c>
      <c r="I80">
        <v>1.48</v>
      </c>
      <c r="J80">
        <v>7264</v>
      </c>
      <c r="K80">
        <v>158674.1</v>
      </c>
      <c r="L80">
        <v>-1899.421</v>
      </c>
      <c r="M80" t="str">
        <f t="shared" si="2"/>
        <v>1:1 Desk</v>
      </c>
    </row>
    <row r="81" spans="1:13" x14ac:dyDescent="0.35">
      <c r="A81" t="s">
        <v>14</v>
      </c>
      <c r="B81" t="s">
        <v>52</v>
      </c>
      <c r="C81">
        <v>20879</v>
      </c>
      <c r="D81">
        <v>8135</v>
      </c>
      <c r="E81">
        <v>0.39</v>
      </c>
      <c r="F81">
        <v>1034</v>
      </c>
      <c r="G81">
        <v>7.0000000000000007E-2</v>
      </c>
      <c r="H81">
        <v>8069</v>
      </c>
      <c r="I81">
        <v>0.99</v>
      </c>
      <c r="J81">
        <v>6153</v>
      </c>
      <c r="K81">
        <v>132508.12</v>
      </c>
      <c r="L81">
        <v>-1915.53</v>
      </c>
      <c r="M81" t="str">
        <f t="shared" si="2"/>
        <v>1:1 Desk</v>
      </c>
    </row>
    <row r="82" spans="1:13" x14ac:dyDescent="0.35">
      <c r="A82" t="s">
        <v>18</v>
      </c>
      <c r="B82" t="s">
        <v>52</v>
      </c>
      <c r="C82">
        <v>26710</v>
      </c>
      <c r="D82">
        <v>11918</v>
      </c>
      <c r="E82">
        <v>0.45</v>
      </c>
      <c r="F82">
        <v>921</v>
      </c>
      <c r="G82">
        <v>0.05</v>
      </c>
      <c r="H82">
        <v>6628</v>
      </c>
      <c r="I82">
        <v>0.56000000000000005</v>
      </c>
      <c r="J82">
        <v>5604</v>
      </c>
      <c r="K82">
        <v>124194.91</v>
      </c>
      <c r="L82">
        <v>-1023.587</v>
      </c>
      <c r="M82" t="str">
        <f t="shared" si="2"/>
        <v>1:1 Mob</v>
      </c>
    </row>
    <row r="83" spans="1:13" x14ac:dyDescent="0.35">
      <c r="A83" t="s">
        <v>12</v>
      </c>
      <c r="B83" t="s">
        <v>52</v>
      </c>
      <c r="C83">
        <v>9759</v>
      </c>
      <c r="D83">
        <v>3904</v>
      </c>
      <c r="E83">
        <v>0.4</v>
      </c>
      <c r="F83">
        <v>593</v>
      </c>
      <c r="G83">
        <v>0.08</v>
      </c>
      <c r="H83">
        <v>4949</v>
      </c>
      <c r="I83">
        <v>1.27</v>
      </c>
      <c r="J83">
        <v>3973</v>
      </c>
      <c r="K83">
        <v>87840.47</v>
      </c>
      <c r="L83">
        <v>-975.67600000000004</v>
      </c>
      <c r="M83" t="str">
        <f t="shared" si="2"/>
        <v>1:1 Desk</v>
      </c>
    </row>
    <row r="84" spans="1:13" x14ac:dyDescent="0.35">
      <c r="A84" t="s">
        <v>28</v>
      </c>
      <c r="B84" t="s">
        <v>52</v>
      </c>
      <c r="C84">
        <v>5480</v>
      </c>
      <c r="D84">
        <v>2003</v>
      </c>
      <c r="E84">
        <v>0.37</v>
      </c>
      <c r="F84">
        <v>371</v>
      </c>
      <c r="G84">
        <v>0.1</v>
      </c>
      <c r="H84">
        <v>2984</v>
      </c>
      <c r="I84">
        <v>1.49</v>
      </c>
      <c r="J84">
        <v>3013</v>
      </c>
      <c r="K84">
        <v>73096.84</v>
      </c>
      <c r="L84">
        <v>29.100999999999999</v>
      </c>
      <c r="M84" t="str">
        <f t="shared" si="2"/>
        <v>Exact Desk</v>
      </c>
    </row>
    <row r="85" spans="1:13" x14ac:dyDescent="0.35">
      <c r="A85" t="s">
        <v>35</v>
      </c>
      <c r="B85" t="s">
        <v>52</v>
      </c>
      <c r="C85">
        <v>10938</v>
      </c>
      <c r="D85">
        <v>4247</v>
      </c>
      <c r="E85">
        <v>0.39</v>
      </c>
      <c r="F85">
        <v>343</v>
      </c>
      <c r="G85">
        <v>0.05</v>
      </c>
      <c r="H85">
        <v>2486</v>
      </c>
      <c r="I85">
        <v>0.59</v>
      </c>
      <c r="J85">
        <v>2410</v>
      </c>
      <c r="K85">
        <v>57157.19</v>
      </c>
      <c r="L85">
        <v>-76.263000000000005</v>
      </c>
      <c r="M85" t="str">
        <f t="shared" si="2"/>
        <v>Exact Mob</v>
      </c>
    </row>
    <row r="86" spans="1:13" x14ac:dyDescent="0.35">
      <c r="A86" t="s">
        <v>31</v>
      </c>
      <c r="B86" t="s">
        <v>52</v>
      </c>
      <c r="C86">
        <v>16362</v>
      </c>
      <c r="D86">
        <v>5876</v>
      </c>
      <c r="E86">
        <v>0.36</v>
      </c>
      <c r="F86">
        <v>302</v>
      </c>
      <c r="G86">
        <v>0.04</v>
      </c>
      <c r="H86">
        <v>2199</v>
      </c>
      <c r="I86">
        <v>0.37</v>
      </c>
      <c r="J86">
        <v>1970</v>
      </c>
      <c r="K86">
        <v>44401.87</v>
      </c>
      <c r="L86">
        <v>-229.33600000000001</v>
      </c>
      <c r="M86" t="str">
        <f t="shared" si="2"/>
        <v>Exact Mob</v>
      </c>
    </row>
    <row r="87" spans="1:13" x14ac:dyDescent="0.35">
      <c r="A87" t="s">
        <v>24</v>
      </c>
      <c r="B87" t="s">
        <v>52</v>
      </c>
      <c r="C87">
        <v>5304</v>
      </c>
      <c r="D87">
        <v>1702</v>
      </c>
      <c r="E87">
        <v>0.32</v>
      </c>
      <c r="F87">
        <v>216</v>
      </c>
      <c r="G87">
        <v>7.0000000000000007E-2</v>
      </c>
      <c r="H87">
        <v>1912</v>
      </c>
      <c r="I87">
        <v>1.1200000000000001</v>
      </c>
      <c r="J87">
        <v>1451</v>
      </c>
      <c r="K87">
        <v>34236.93</v>
      </c>
      <c r="L87">
        <v>-461.19799999999998</v>
      </c>
      <c r="M87" t="str">
        <f t="shared" si="2"/>
        <v>Exact Desk</v>
      </c>
    </row>
    <row r="88" spans="1:13" x14ac:dyDescent="0.35">
      <c r="A88" t="s">
        <v>42</v>
      </c>
      <c r="B88" t="s">
        <v>52</v>
      </c>
      <c r="C88">
        <v>3939</v>
      </c>
      <c r="D88">
        <v>1321</v>
      </c>
      <c r="E88">
        <v>0.34</v>
      </c>
      <c r="F88">
        <v>205</v>
      </c>
      <c r="G88">
        <v>0.09</v>
      </c>
      <c r="H88">
        <v>1845</v>
      </c>
      <c r="I88">
        <v>1.4</v>
      </c>
      <c r="J88">
        <v>1678</v>
      </c>
      <c r="K88">
        <v>40606.65</v>
      </c>
      <c r="L88">
        <v>-166.708</v>
      </c>
      <c r="M88" t="str">
        <f t="shared" si="2"/>
        <v>Phrase Desk</v>
      </c>
    </row>
    <row r="89" spans="1:13" x14ac:dyDescent="0.35">
      <c r="A89" t="s">
        <v>38</v>
      </c>
      <c r="B89" t="s">
        <v>52</v>
      </c>
      <c r="C89">
        <v>3255</v>
      </c>
      <c r="D89">
        <v>1077</v>
      </c>
      <c r="E89">
        <v>0.33</v>
      </c>
      <c r="F89">
        <v>166</v>
      </c>
      <c r="G89">
        <v>0.08</v>
      </c>
      <c r="H89">
        <v>1413</v>
      </c>
      <c r="I89">
        <v>1.31</v>
      </c>
      <c r="J89">
        <v>1391</v>
      </c>
      <c r="K89">
        <v>35526.39</v>
      </c>
      <c r="L89">
        <v>-22.431999999999999</v>
      </c>
      <c r="M89" t="str">
        <f t="shared" si="2"/>
        <v>Phrase Desk</v>
      </c>
    </row>
    <row r="90" spans="1:13" x14ac:dyDescent="0.35">
      <c r="A90" t="s">
        <v>20</v>
      </c>
      <c r="B90" t="s">
        <v>52</v>
      </c>
      <c r="C90">
        <v>5471</v>
      </c>
      <c r="D90">
        <v>2169</v>
      </c>
      <c r="E90">
        <v>0.4</v>
      </c>
      <c r="F90">
        <v>170</v>
      </c>
      <c r="G90">
        <v>0.05</v>
      </c>
      <c r="H90">
        <v>1302</v>
      </c>
      <c r="I90">
        <v>0.6</v>
      </c>
      <c r="J90">
        <v>1153</v>
      </c>
      <c r="K90">
        <v>25744.04</v>
      </c>
      <c r="L90">
        <v>-149.24299999999999</v>
      </c>
      <c r="M90" t="str">
        <f t="shared" si="2"/>
        <v>1:1 Mob</v>
      </c>
    </row>
    <row r="91" spans="1:13" x14ac:dyDescent="0.35">
      <c r="A91" t="s">
        <v>15</v>
      </c>
      <c r="B91" t="s">
        <v>52</v>
      </c>
      <c r="C91">
        <v>2163</v>
      </c>
      <c r="D91">
        <v>866</v>
      </c>
      <c r="E91">
        <v>0.4</v>
      </c>
      <c r="F91">
        <v>139</v>
      </c>
      <c r="G91">
        <v>0.08</v>
      </c>
      <c r="H91">
        <v>1165</v>
      </c>
      <c r="I91">
        <v>1.35</v>
      </c>
      <c r="J91">
        <v>1073</v>
      </c>
      <c r="K91">
        <v>24921.42</v>
      </c>
      <c r="L91">
        <v>-92.088999999999999</v>
      </c>
      <c r="M91" t="str">
        <f t="shared" si="2"/>
        <v>1:1 Desk</v>
      </c>
    </row>
    <row r="92" spans="1:13" x14ac:dyDescent="0.35">
      <c r="A92" t="s">
        <v>45</v>
      </c>
      <c r="B92" t="s">
        <v>52</v>
      </c>
      <c r="C92">
        <v>6231</v>
      </c>
      <c r="D92">
        <v>2152</v>
      </c>
      <c r="E92">
        <v>0.35</v>
      </c>
      <c r="F92">
        <v>143</v>
      </c>
      <c r="G92">
        <v>0.04</v>
      </c>
      <c r="H92">
        <v>1096</v>
      </c>
      <c r="I92">
        <v>0.51</v>
      </c>
      <c r="J92">
        <v>947</v>
      </c>
      <c r="K92">
        <v>20744.22</v>
      </c>
      <c r="L92">
        <v>-149.26900000000001</v>
      </c>
      <c r="M92" t="str">
        <f t="shared" si="2"/>
        <v>Phrase Mob</v>
      </c>
    </row>
    <row r="93" spans="1:13" x14ac:dyDescent="0.35">
      <c r="A93" t="s">
        <v>49</v>
      </c>
      <c r="B93" t="s">
        <v>52</v>
      </c>
      <c r="C93">
        <v>4655</v>
      </c>
      <c r="D93">
        <v>1583</v>
      </c>
      <c r="E93">
        <v>0.34</v>
      </c>
      <c r="F93">
        <v>110</v>
      </c>
      <c r="G93">
        <v>0.05</v>
      </c>
      <c r="H93">
        <v>826</v>
      </c>
      <c r="I93">
        <v>0.52</v>
      </c>
      <c r="J93">
        <v>753</v>
      </c>
      <c r="K93">
        <v>16455.919999999998</v>
      </c>
      <c r="L93">
        <v>-72.811999999999998</v>
      </c>
      <c r="M93" t="str">
        <f t="shared" si="2"/>
        <v>Phrase Mob</v>
      </c>
    </row>
    <row r="94" spans="1:13" x14ac:dyDescent="0.35">
      <c r="A94" t="s">
        <v>29</v>
      </c>
      <c r="B94" t="s">
        <v>52</v>
      </c>
      <c r="C94">
        <v>9989</v>
      </c>
      <c r="D94">
        <v>1176</v>
      </c>
      <c r="E94">
        <v>0.12</v>
      </c>
      <c r="F94">
        <v>43</v>
      </c>
      <c r="G94">
        <v>0.05</v>
      </c>
      <c r="H94">
        <v>574</v>
      </c>
      <c r="I94">
        <v>0.49</v>
      </c>
      <c r="J94">
        <v>249</v>
      </c>
      <c r="K94">
        <v>4979.4399999999996</v>
      </c>
      <c r="L94">
        <v>-325.00700000000001</v>
      </c>
      <c r="M94" t="str">
        <f t="shared" si="2"/>
        <v>Exact Desk</v>
      </c>
    </row>
    <row r="95" spans="1:13" x14ac:dyDescent="0.35">
      <c r="A95" t="s">
        <v>41</v>
      </c>
      <c r="B95" t="s">
        <v>52</v>
      </c>
      <c r="C95">
        <v>1498</v>
      </c>
      <c r="D95">
        <v>377</v>
      </c>
      <c r="E95">
        <v>0.25</v>
      </c>
      <c r="F95">
        <v>55</v>
      </c>
      <c r="G95">
        <v>0.09</v>
      </c>
      <c r="H95">
        <v>546</v>
      </c>
      <c r="I95">
        <v>1.45</v>
      </c>
      <c r="J95">
        <v>303</v>
      </c>
      <c r="K95">
        <v>6071.61</v>
      </c>
      <c r="L95">
        <v>-242.84</v>
      </c>
      <c r="M95" t="str">
        <f t="shared" si="2"/>
        <v>Phrase Desk</v>
      </c>
    </row>
    <row r="96" spans="1:13" x14ac:dyDescent="0.35">
      <c r="A96" t="s">
        <v>32</v>
      </c>
      <c r="B96" t="s">
        <v>52</v>
      </c>
      <c r="C96">
        <v>4224</v>
      </c>
      <c r="D96">
        <v>1181</v>
      </c>
      <c r="E96">
        <v>0.28000000000000003</v>
      </c>
      <c r="F96">
        <v>54</v>
      </c>
      <c r="G96">
        <v>0.03</v>
      </c>
      <c r="H96">
        <v>519</v>
      </c>
      <c r="I96">
        <v>0.44</v>
      </c>
      <c r="J96">
        <v>327</v>
      </c>
      <c r="K96">
        <v>6664.23</v>
      </c>
      <c r="L96">
        <v>-192.35400000000001</v>
      </c>
      <c r="M96" t="str">
        <f t="shared" si="2"/>
        <v>Exact Mob</v>
      </c>
    </row>
    <row r="97" spans="1:13" x14ac:dyDescent="0.35">
      <c r="A97" t="s">
        <v>25</v>
      </c>
      <c r="B97" t="s">
        <v>52</v>
      </c>
      <c r="C97">
        <v>1650</v>
      </c>
      <c r="D97">
        <v>432</v>
      </c>
      <c r="E97">
        <v>0.26</v>
      </c>
      <c r="F97">
        <v>48</v>
      </c>
      <c r="G97">
        <v>0.06</v>
      </c>
      <c r="H97">
        <v>457</v>
      </c>
      <c r="I97">
        <v>1.06</v>
      </c>
      <c r="J97">
        <v>406</v>
      </c>
      <c r="K97">
        <v>9718.82</v>
      </c>
      <c r="L97">
        <v>-50.676000000000002</v>
      </c>
      <c r="M97" t="str">
        <f t="shared" si="2"/>
        <v>Exact Desk</v>
      </c>
    </row>
    <row r="98" spans="1:13" x14ac:dyDescent="0.35">
      <c r="A98" t="s">
        <v>43</v>
      </c>
      <c r="B98" t="s">
        <v>52</v>
      </c>
      <c r="C98">
        <v>6314</v>
      </c>
      <c r="D98">
        <v>526</v>
      </c>
      <c r="E98">
        <v>0.08</v>
      </c>
      <c r="F98">
        <v>26</v>
      </c>
      <c r="G98">
        <v>0.06</v>
      </c>
      <c r="H98">
        <v>400</v>
      </c>
      <c r="I98">
        <v>0.76</v>
      </c>
      <c r="J98">
        <v>157</v>
      </c>
      <c r="K98">
        <v>3144.2</v>
      </c>
      <c r="L98">
        <v>-242.77600000000001</v>
      </c>
      <c r="M98" t="str">
        <f t="shared" ref="M98:M129" si="3">IFERROR(
    IF(AND(ISNUMBER(SEARCH("1:1", A98)), ISNUMBER(SEARCH("Desk", A98))), "1:1 Desk",
    IF(AND(ISNUMBER(SEARCH("1:1", A98)), ISNUMBER(SEARCH("Mob", A98))), "1:1 Mob",
    IF(AND(ISNUMBER(SEARCH("Exact", A98)), ISNUMBER(SEARCH("Desk", A98))), "Exact Desk",
    IF(AND(ISNUMBER(SEARCH("Exact", A98)), ISNUMBER(SEARCH("Mob", A98))), "Exact Mob",
    IF(AND(ISNUMBER(SEARCH("Phrase", A98)), ISNUMBER(SEARCH("Desk", A98))), "Phrase Desk",
    IF(AND(ISNUMBER(SEARCH("Phrase", A98)), ISNUMBER(SEARCH("Mob", A98))), "Phrase Mob",
    "Other")))))),
"Other")</f>
        <v>Phrase Desk</v>
      </c>
    </row>
    <row r="99" spans="1:13" x14ac:dyDescent="0.35">
      <c r="A99" t="s">
        <v>48</v>
      </c>
      <c r="B99" t="s">
        <v>52</v>
      </c>
      <c r="C99">
        <v>2018</v>
      </c>
      <c r="D99">
        <v>621</v>
      </c>
      <c r="E99">
        <v>0.31</v>
      </c>
      <c r="F99">
        <v>45</v>
      </c>
      <c r="G99">
        <v>0.05</v>
      </c>
      <c r="H99">
        <v>373</v>
      </c>
      <c r="I99">
        <v>0.6</v>
      </c>
      <c r="J99">
        <v>308</v>
      </c>
      <c r="K99">
        <v>6807.69</v>
      </c>
      <c r="L99">
        <v>-65.171999999999997</v>
      </c>
      <c r="M99" t="str">
        <f t="shared" si="3"/>
        <v>Phrase Mob</v>
      </c>
    </row>
    <row r="100" spans="1:13" x14ac:dyDescent="0.35">
      <c r="A100" t="s">
        <v>17</v>
      </c>
      <c r="B100" t="s">
        <v>52</v>
      </c>
      <c r="C100">
        <v>548</v>
      </c>
      <c r="D100">
        <v>200</v>
      </c>
      <c r="E100">
        <v>0.36</v>
      </c>
      <c r="F100">
        <v>39</v>
      </c>
      <c r="G100">
        <v>0.11</v>
      </c>
      <c r="H100">
        <v>279</v>
      </c>
      <c r="I100">
        <v>1.4</v>
      </c>
      <c r="J100">
        <v>251</v>
      </c>
      <c r="K100">
        <v>5241.8100000000004</v>
      </c>
      <c r="L100">
        <v>-28.119</v>
      </c>
      <c r="M100" t="str">
        <f t="shared" si="3"/>
        <v>1:1 Desk</v>
      </c>
    </row>
    <row r="101" spans="1:13" x14ac:dyDescent="0.35">
      <c r="A101" t="s">
        <v>22</v>
      </c>
      <c r="B101" t="s">
        <v>52</v>
      </c>
      <c r="C101">
        <v>1255</v>
      </c>
      <c r="D101">
        <v>439</v>
      </c>
      <c r="E101">
        <v>0.35</v>
      </c>
      <c r="F101">
        <v>38</v>
      </c>
      <c r="G101">
        <v>0.06</v>
      </c>
      <c r="H101">
        <v>272</v>
      </c>
      <c r="I101">
        <v>0.62</v>
      </c>
      <c r="J101">
        <v>207</v>
      </c>
      <c r="K101">
        <v>4232.7</v>
      </c>
      <c r="L101">
        <v>-64.594999999999999</v>
      </c>
      <c r="M101" t="str">
        <f t="shared" si="3"/>
        <v>1:1 Mob</v>
      </c>
    </row>
    <row r="102" spans="1:13" x14ac:dyDescent="0.35">
      <c r="A102" t="s">
        <v>27</v>
      </c>
      <c r="B102" t="s">
        <v>52</v>
      </c>
      <c r="C102">
        <v>628</v>
      </c>
      <c r="D102">
        <v>148</v>
      </c>
      <c r="E102">
        <v>0.24</v>
      </c>
      <c r="F102">
        <v>21</v>
      </c>
      <c r="G102">
        <v>0.09</v>
      </c>
      <c r="H102">
        <v>240</v>
      </c>
      <c r="I102">
        <v>1.62</v>
      </c>
      <c r="J102">
        <v>202</v>
      </c>
      <c r="K102">
        <v>4050.38</v>
      </c>
      <c r="L102">
        <v>-37.972999999999999</v>
      </c>
      <c r="M102" t="str">
        <f t="shared" si="3"/>
        <v>Exact Desk</v>
      </c>
    </row>
    <row r="103" spans="1:13" x14ac:dyDescent="0.35">
      <c r="A103" t="s">
        <v>34</v>
      </c>
      <c r="B103" t="s">
        <v>52</v>
      </c>
      <c r="C103">
        <v>1288</v>
      </c>
      <c r="D103">
        <v>340</v>
      </c>
      <c r="E103">
        <v>0.26</v>
      </c>
      <c r="F103">
        <v>20</v>
      </c>
      <c r="G103">
        <v>0.04</v>
      </c>
      <c r="H103">
        <v>239</v>
      </c>
      <c r="I103">
        <v>0.7</v>
      </c>
      <c r="J103">
        <v>143</v>
      </c>
      <c r="K103">
        <v>2960.84</v>
      </c>
      <c r="L103">
        <v>-96.195999999999998</v>
      </c>
      <c r="M103" t="str">
        <f t="shared" si="3"/>
        <v>Exact Mob</v>
      </c>
    </row>
    <row r="104" spans="1:13" x14ac:dyDescent="0.35">
      <c r="A104" t="s">
        <v>50</v>
      </c>
      <c r="B104" t="s">
        <v>52</v>
      </c>
      <c r="C104">
        <v>6444</v>
      </c>
      <c r="D104">
        <v>593</v>
      </c>
      <c r="E104">
        <v>0.09</v>
      </c>
      <c r="F104">
        <v>27</v>
      </c>
      <c r="G104">
        <v>0.05</v>
      </c>
      <c r="H104">
        <v>231</v>
      </c>
      <c r="I104">
        <v>0.39</v>
      </c>
      <c r="J104">
        <v>221</v>
      </c>
      <c r="K104">
        <v>5500.5</v>
      </c>
      <c r="L104">
        <v>-9.5190000000000001</v>
      </c>
      <c r="M104" t="str">
        <f t="shared" si="3"/>
        <v>Phrase Mob</v>
      </c>
    </row>
    <row r="105" spans="1:13" x14ac:dyDescent="0.35">
      <c r="A105" t="s">
        <v>46</v>
      </c>
      <c r="B105" t="s">
        <v>52</v>
      </c>
      <c r="C105">
        <v>1848</v>
      </c>
      <c r="D105">
        <v>447</v>
      </c>
      <c r="E105">
        <v>0.24</v>
      </c>
      <c r="F105">
        <v>28</v>
      </c>
      <c r="G105">
        <v>0.05</v>
      </c>
      <c r="H105">
        <v>217</v>
      </c>
      <c r="I105">
        <v>0.49</v>
      </c>
      <c r="J105">
        <v>179</v>
      </c>
      <c r="K105">
        <v>3765.3</v>
      </c>
      <c r="L105">
        <v>-38.448</v>
      </c>
      <c r="M105" t="str">
        <f t="shared" si="3"/>
        <v>Phrase Mob</v>
      </c>
    </row>
    <row r="106" spans="1:13" x14ac:dyDescent="0.35">
      <c r="A106" t="s">
        <v>36</v>
      </c>
      <c r="B106" t="s">
        <v>52</v>
      </c>
      <c r="C106">
        <v>8902</v>
      </c>
      <c r="D106">
        <v>661</v>
      </c>
      <c r="E106">
        <v>7.0000000000000007E-2</v>
      </c>
      <c r="F106">
        <v>25</v>
      </c>
      <c r="G106">
        <v>0.04</v>
      </c>
      <c r="H106">
        <v>216</v>
      </c>
      <c r="I106">
        <v>0.33</v>
      </c>
      <c r="J106">
        <v>173</v>
      </c>
      <c r="K106">
        <v>4259.42</v>
      </c>
      <c r="L106">
        <v>-42.99</v>
      </c>
      <c r="M106" t="str">
        <f t="shared" si="3"/>
        <v>Exact Mob</v>
      </c>
    </row>
    <row r="107" spans="1:13" x14ac:dyDescent="0.35">
      <c r="A107" t="s">
        <v>30</v>
      </c>
      <c r="B107" t="s">
        <v>52</v>
      </c>
      <c r="C107">
        <v>1077</v>
      </c>
      <c r="D107">
        <v>368</v>
      </c>
      <c r="E107">
        <v>0.34</v>
      </c>
      <c r="F107">
        <v>14</v>
      </c>
      <c r="G107">
        <v>0.03</v>
      </c>
      <c r="H107">
        <v>164</v>
      </c>
      <c r="I107">
        <v>0.45</v>
      </c>
      <c r="J107">
        <v>67</v>
      </c>
      <c r="K107">
        <v>1430.86</v>
      </c>
      <c r="L107">
        <v>-96.951999999999998</v>
      </c>
      <c r="M107" t="str">
        <f t="shared" si="3"/>
        <v>Exact Mob</v>
      </c>
    </row>
    <row r="108" spans="1:13" x14ac:dyDescent="0.35">
      <c r="A108" t="s">
        <v>39</v>
      </c>
      <c r="B108" t="s">
        <v>52</v>
      </c>
      <c r="C108">
        <v>810</v>
      </c>
      <c r="D108">
        <v>123</v>
      </c>
      <c r="E108">
        <v>0.15</v>
      </c>
      <c r="F108">
        <v>17</v>
      </c>
      <c r="G108">
        <v>0.09</v>
      </c>
      <c r="H108">
        <v>134</v>
      </c>
      <c r="I108">
        <v>1.0900000000000001</v>
      </c>
      <c r="J108">
        <v>121</v>
      </c>
      <c r="K108">
        <v>2514.88</v>
      </c>
      <c r="L108">
        <v>-12.744</v>
      </c>
      <c r="M108" t="str">
        <f t="shared" si="3"/>
        <v>Phrase Desk</v>
      </c>
    </row>
    <row r="109" spans="1:13" x14ac:dyDescent="0.35">
      <c r="A109" t="s">
        <v>23</v>
      </c>
      <c r="B109" t="s">
        <v>52</v>
      </c>
      <c r="C109">
        <v>514</v>
      </c>
      <c r="D109">
        <v>123</v>
      </c>
      <c r="E109">
        <v>0.24</v>
      </c>
      <c r="F109">
        <v>16</v>
      </c>
      <c r="G109">
        <v>0.1</v>
      </c>
      <c r="H109">
        <v>130</v>
      </c>
      <c r="I109">
        <v>1.06</v>
      </c>
      <c r="J109">
        <v>110</v>
      </c>
      <c r="K109">
        <v>2197.0500000000002</v>
      </c>
      <c r="L109">
        <v>-20.138999999999999</v>
      </c>
      <c r="M109" t="str">
        <f t="shared" si="3"/>
        <v>Exact Desk</v>
      </c>
    </row>
    <row r="110" spans="1:13" x14ac:dyDescent="0.35">
      <c r="A110" t="s">
        <v>26</v>
      </c>
      <c r="B110" t="s">
        <v>52</v>
      </c>
      <c r="C110">
        <v>499</v>
      </c>
      <c r="D110">
        <v>116</v>
      </c>
      <c r="E110">
        <v>0.23</v>
      </c>
      <c r="F110">
        <v>14</v>
      </c>
      <c r="G110">
        <v>0.11</v>
      </c>
      <c r="H110">
        <v>52</v>
      </c>
      <c r="I110">
        <v>0.45</v>
      </c>
      <c r="J110">
        <v>74</v>
      </c>
      <c r="K110">
        <v>2728.4</v>
      </c>
      <c r="L110">
        <v>21.998000000000001</v>
      </c>
      <c r="M110" t="str">
        <f t="shared" si="3"/>
        <v>Exact Desk</v>
      </c>
    </row>
    <row r="111" spans="1:13" x14ac:dyDescent="0.35">
      <c r="A111" t="s">
        <v>33</v>
      </c>
      <c r="B111" t="s">
        <v>52</v>
      </c>
      <c r="C111">
        <v>560</v>
      </c>
      <c r="D111">
        <v>178</v>
      </c>
      <c r="E111">
        <v>0.32</v>
      </c>
      <c r="F111">
        <v>7</v>
      </c>
      <c r="G111">
        <v>0.05</v>
      </c>
      <c r="H111">
        <v>39</v>
      </c>
      <c r="I111">
        <v>0.22</v>
      </c>
      <c r="J111">
        <v>12</v>
      </c>
      <c r="K111">
        <v>235.27</v>
      </c>
      <c r="L111">
        <v>-27.233000000000001</v>
      </c>
      <c r="M111" t="str">
        <f t="shared" si="3"/>
        <v>Exact Mob</v>
      </c>
    </row>
    <row r="112" spans="1:13" x14ac:dyDescent="0.35">
      <c r="A112" t="s">
        <v>47</v>
      </c>
      <c r="B112" t="s">
        <v>52</v>
      </c>
      <c r="C112">
        <v>98</v>
      </c>
      <c r="D112">
        <v>22</v>
      </c>
      <c r="E112">
        <v>0.22</v>
      </c>
      <c r="F112">
        <v>0</v>
      </c>
      <c r="G112">
        <v>0</v>
      </c>
      <c r="H112">
        <v>6</v>
      </c>
      <c r="I112">
        <v>0.28999999999999998</v>
      </c>
      <c r="J112">
        <v>0</v>
      </c>
      <c r="K112">
        <v>0</v>
      </c>
      <c r="L112">
        <v>-6</v>
      </c>
      <c r="M112" t="str">
        <f t="shared" si="3"/>
        <v>Phrase Mob</v>
      </c>
    </row>
    <row r="113" spans="1:13" x14ac:dyDescent="0.35">
      <c r="A113" t="s">
        <v>44</v>
      </c>
      <c r="B113" t="s">
        <v>52</v>
      </c>
      <c r="C113">
        <v>54</v>
      </c>
      <c r="D113">
        <v>9</v>
      </c>
      <c r="E113">
        <v>0.17</v>
      </c>
      <c r="F113">
        <v>1</v>
      </c>
      <c r="G113">
        <v>0.11</v>
      </c>
      <c r="H113">
        <v>4</v>
      </c>
      <c r="I113">
        <v>0.45</v>
      </c>
      <c r="J113">
        <v>1</v>
      </c>
      <c r="K113">
        <v>28.93</v>
      </c>
      <c r="L113">
        <v>-2.5529999999999999</v>
      </c>
      <c r="M113" t="str">
        <f t="shared" si="3"/>
        <v>Phrase Mob</v>
      </c>
    </row>
    <row r="114" spans="1:13" x14ac:dyDescent="0.35">
      <c r="A114" t="s">
        <v>40</v>
      </c>
      <c r="B114" t="s">
        <v>52</v>
      </c>
      <c r="C114">
        <v>52</v>
      </c>
      <c r="D114">
        <v>4</v>
      </c>
      <c r="E114">
        <v>0.08</v>
      </c>
      <c r="F114">
        <v>1</v>
      </c>
      <c r="G114">
        <v>0.5</v>
      </c>
      <c r="H114">
        <v>1</v>
      </c>
      <c r="I114">
        <v>0.43</v>
      </c>
      <c r="J114">
        <v>20</v>
      </c>
      <c r="K114">
        <v>678</v>
      </c>
      <c r="L114">
        <v>19.34</v>
      </c>
      <c r="M114" t="str">
        <f t="shared" si="3"/>
        <v>Phrase Desk</v>
      </c>
    </row>
    <row r="115" spans="1:13" x14ac:dyDescent="0.35">
      <c r="A115" t="s">
        <v>37</v>
      </c>
      <c r="B115" t="s">
        <v>52</v>
      </c>
      <c r="C115">
        <v>38</v>
      </c>
      <c r="D115">
        <v>2</v>
      </c>
      <c r="E115">
        <v>0.05</v>
      </c>
      <c r="F115">
        <v>0</v>
      </c>
      <c r="G115">
        <v>0</v>
      </c>
      <c r="H115">
        <v>1</v>
      </c>
      <c r="I115">
        <v>0.56999999999999995</v>
      </c>
      <c r="J115">
        <v>0</v>
      </c>
      <c r="K115">
        <v>0</v>
      </c>
      <c r="L115">
        <v>-1</v>
      </c>
      <c r="M115" t="str">
        <f t="shared" si="3"/>
        <v>Phrase Desk</v>
      </c>
    </row>
    <row r="116" spans="1:13" x14ac:dyDescent="0.35">
      <c r="A116" t="s">
        <v>19</v>
      </c>
      <c r="B116" t="s">
        <v>53</v>
      </c>
      <c r="C116">
        <v>93406</v>
      </c>
      <c r="D116">
        <v>36068</v>
      </c>
      <c r="E116">
        <v>0.39</v>
      </c>
      <c r="F116">
        <v>2444</v>
      </c>
      <c r="G116">
        <v>0.05</v>
      </c>
      <c r="H116">
        <v>12236</v>
      </c>
      <c r="I116">
        <v>0.34</v>
      </c>
      <c r="J116">
        <v>13744</v>
      </c>
      <c r="K116">
        <v>285638.3</v>
      </c>
      <c r="L116">
        <v>1507.6849999999999</v>
      </c>
      <c r="M116" t="str">
        <f t="shared" si="3"/>
        <v>1:1 Mob</v>
      </c>
    </row>
    <row r="117" spans="1:13" x14ac:dyDescent="0.35">
      <c r="A117" t="s">
        <v>21</v>
      </c>
      <c r="B117" t="s">
        <v>53</v>
      </c>
      <c r="C117">
        <v>34929</v>
      </c>
      <c r="D117">
        <v>15595</v>
      </c>
      <c r="E117">
        <v>0.45</v>
      </c>
      <c r="F117">
        <v>2193</v>
      </c>
      <c r="G117">
        <v>0.09</v>
      </c>
      <c r="H117">
        <v>11258</v>
      </c>
      <c r="I117">
        <v>0.72</v>
      </c>
      <c r="J117">
        <v>12025</v>
      </c>
      <c r="K117">
        <v>252296.27</v>
      </c>
      <c r="L117">
        <v>766.85900000000004</v>
      </c>
      <c r="M117" t="str">
        <f t="shared" si="3"/>
        <v>1:1 Mob</v>
      </c>
    </row>
    <row r="118" spans="1:13" x14ac:dyDescent="0.35">
      <c r="A118" t="s">
        <v>16</v>
      </c>
      <c r="B118" t="s">
        <v>53</v>
      </c>
      <c r="C118">
        <v>16953</v>
      </c>
      <c r="D118">
        <v>6484</v>
      </c>
      <c r="E118">
        <v>0.38</v>
      </c>
      <c r="F118">
        <v>1499</v>
      </c>
      <c r="G118">
        <v>0.12</v>
      </c>
      <c r="H118">
        <v>10080</v>
      </c>
      <c r="I118">
        <v>1.55</v>
      </c>
      <c r="J118">
        <v>9553</v>
      </c>
      <c r="K118">
        <v>210096.13</v>
      </c>
      <c r="L118">
        <v>-527.24900000000002</v>
      </c>
      <c r="M118" t="str">
        <f t="shared" si="3"/>
        <v>1:1 Desk</v>
      </c>
    </row>
    <row r="119" spans="1:13" x14ac:dyDescent="0.35">
      <c r="A119" t="s">
        <v>14</v>
      </c>
      <c r="B119" t="s">
        <v>53</v>
      </c>
      <c r="C119">
        <v>24598</v>
      </c>
      <c r="D119">
        <v>8693</v>
      </c>
      <c r="E119">
        <v>0.35</v>
      </c>
      <c r="F119">
        <v>1421</v>
      </c>
      <c r="G119">
        <v>0.09</v>
      </c>
      <c r="H119">
        <v>9461</v>
      </c>
      <c r="I119">
        <v>1.0900000000000001</v>
      </c>
      <c r="J119">
        <v>8186</v>
      </c>
      <c r="K119">
        <v>171724.63</v>
      </c>
      <c r="L119">
        <v>-1274.7470000000001</v>
      </c>
      <c r="M119" t="str">
        <f t="shared" si="3"/>
        <v>1:1 Desk</v>
      </c>
    </row>
    <row r="120" spans="1:13" x14ac:dyDescent="0.35">
      <c r="A120" t="s">
        <v>18</v>
      </c>
      <c r="B120" t="s">
        <v>53</v>
      </c>
      <c r="C120">
        <v>28102</v>
      </c>
      <c r="D120">
        <v>12485</v>
      </c>
      <c r="E120">
        <v>0.44</v>
      </c>
      <c r="F120">
        <v>1393</v>
      </c>
      <c r="G120">
        <v>7.0000000000000007E-2</v>
      </c>
      <c r="H120">
        <v>7192</v>
      </c>
      <c r="I120">
        <v>0.57999999999999996</v>
      </c>
      <c r="J120">
        <v>7955</v>
      </c>
      <c r="K120">
        <v>166656.04999999999</v>
      </c>
      <c r="L120">
        <v>762.92100000000005</v>
      </c>
      <c r="M120" t="str">
        <f t="shared" si="3"/>
        <v>1:1 Mob</v>
      </c>
    </row>
    <row r="121" spans="1:13" x14ac:dyDescent="0.35">
      <c r="A121" t="s">
        <v>12</v>
      </c>
      <c r="B121" t="s">
        <v>53</v>
      </c>
      <c r="C121">
        <v>10826</v>
      </c>
      <c r="D121">
        <v>4021</v>
      </c>
      <c r="E121">
        <v>0.37</v>
      </c>
      <c r="F121">
        <v>725</v>
      </c>
      <c r="G121">
        <v>0.1</v>
      </c>
      <c r="H121">
        <v>4812</v>
      </c>
      <c r="I121">
        <v>1.2</v>
      </c>
      <c r="J121">
        <v>4627</v>
      </c>
      <c r="K121">
        <v>96617</v>
      </c>
      <c r="L121">
        <v>-184.857</v>
      </c>
      <c r="M121" t="str">
        <f t="shared" si="3"/>
        <v>1:1 Desk</v>
      </c>
    </row>
    <row r="122" spans="1:13" x14ac:dyDescent="0.35">
      <c r="A122" t="s">
        <v>35</v>
      </c>
      <c r="B122" t="s">
        <v>53</v>
      </c>
      <c r="C122">
        <v>13525</v>
      </c>
      <c r="D122">
        <v>5656</v>
      </c>
      <c r="E122">
        <v>0.42</v>
      </c>
      <c r="F122">
        <v>621</v>
      </c>
      <c r="G122">
        <v>7.0000000000000007E-2</v>
      </c>
      <c r="H122">
        <v>3435</v>
      </c>
      <c r="I122">
        <v>0.61</v>
      </c>
      <c r="J122">
        <v>3487</v>
      </c>
      <c r="K122">
        <v>74522.539999999994</v>
      </c>
      <c r="L122">
        <v>51.685000000000002</v>
      </c>
      <c r="M122" t="str">
        <f t="shared" si="3"/>
        <v>Exact Mob</v>
      </c>
    </row>
    <row r="123" spans="1:13" x14ac:dyDescent="0.35">
      <c r="A123" t="s">
        <v>28</v>
      </c>
      <c r="B123" t="s">
        <v>53</v>
      </c>
      <c r="C123">
        <v>6254</v>
      </c>
      <c r="D123">
        <v>2064</v>
      </c>
      <c r="E123">
        <v>0.33</v>
      </c>
      <c r="F123">
        <v>456</v>
      </c>
      <c r="G123">
        <v>0.12</v>
      </c>
      <c r="H123">
        <v>3012</v>
      </c>
      <c r="I123">
        <v>1.46</v>
      </c>
      <c r="J123">
        <v>3180</v>
      </c>
      <c r="K123">
        <v>69872.95</v>
      </c>
      <c r="L123">
        <v>168.37299999999999</v>
      </c>
      <c r="M123" t="str">
        <f t="shared" si="3"/>
        <v>Exact Desk</v>
      </c>
    </row>
    <row r="124" spans="1:13" x14ac:dyDescent="0.35">
      <c r="A124" t="s">
        <v>42</v>
      </c>
      <c r="B124" t="s">
        <v>53</v>
      </c>
      <c r="C124">
        <v>6908</v>
      </c>
      <c r="D124">
        <v>1874</v>
      </c>
      <c r="E124">
        <v>0.27</v>
      </c>
      <c r="F124">
        <v>337</v>
      </c>
      <c r="G124">
        <v>0.1</v>
      </c>
      <c r="H124">
        <v>2325</v>
      </c>
      <c r="I124">
        <v>1.24</v>
      </c>
      <c r="J124">
        <v>2329</v>
      </c>
      <c r="K124">
        <v>49148.43</v>
      </c>
      <c r="L124">
        <v>4.0659999999999998</v>
      </c>
      <c r="M124" t="str">
        <f t="shared" si="3"/>
        <v>Phrase Desk</v>
      </c>
    </row>
    <row r="125" spans="1:13" x14ac:dyDescent="0.35">
      <c r="A125" t="s">
        <v>31</v>
      </c>
      <c r="B125" t="s">
        <v>53</v>
      </c>
      <c r="C125">
        <v>15769</v>
      </c>
      <c r="D125">
        <v>6046</v>
      </c>
      <c r="E125">
        <v>0.38</v>
      </c>
      <c r="F125">
        <v>440</v>
      </c>
      <c r="G125">
        <v>0.05</v>
      </c>
      <c r="H125">
        <v>2318</v>
      </c>
      <c r="I125">
        <v>0.38</v>
      </c>
      <c r="J125">
        <v>2655</v>
      </c>
      <c r="K125">
        <v>55815.23</v>
      </c>
      <c r="L125">
        <v>337.125</v>
      </c>
      <c r="M125" t="str">
        <f t="shared" si="3"/>
        <v>Exact Mob</v>
      </c>
    </row>
    <row r="126" spans="1:13" x14ac:dyDescent="0.35">
      <c r="A126" t="s">
        <v>24</v>
      </c>
      <c r="B126" t="s">
        <v>53</v>
      </c>
      <c r="C126">
        <v>5044</v>
      </c>
      <c r="D126">
        <v>1555</v>
      </c>
      <c r="E126">
        <v>0.31</v>
      </c>
      <c r="F126">
        <v>267</v>
      </c>
      <c r="G126">
        <v>0.1</v>
      </c>
      <c r="H126">
        <v>1734</v>
      </c>
      <c r="I126">
        <v>1.1200000000000001</v>
      </c>
      <c r="J126">
        <v>1654</v>
      </c>
      <c r="K126">
        <v>34980.160000000003</v>
      </c>
      <c r="L126">
        <v>-79.594999999999999</v>
      </c>
      <c r="M126" t="str">
        <f t="shared" si="3"/>
        <v>Exact Desk</v>
      </c>
    </row>
    <row r="127" spans="1:13" x14ac:dyDescent="0.35">
      <c r="A127" t="s">
        <v>20</v>
      </c>
      <c r="B127" t="s">
        <v>53</v>
      </c>
      <c r="C127">
        <v>5789</v>
      </c>
      <c r="D127">
        <v>2510</v>
      </c>
      <c r="E127">
        <v>0.43</v>
      </c>
      <c r="F127">
        <v>269</v>
      </c>
      <c r="G127">
        <v>7.0000000000000007E-2</v>
      </c>
      <c r="H127">
        <v>1546</v>
      </c>
      <c r="I127">
        <v>0.62</v>
      </c>
      <c r="J127">
        <v>1889</v>
      </c>
      <c r="K127">
        <v>40122.76</v>
      </c>
      <c r="L127">
        <v>342.97899999999998</v>
      </c>
      <c r="M127" t="str">
        <f t="shared" si="3"/>
        <v>1:1 Mob</v>
      </c>
    </row>
    <row r="128" spans="1:13" x14ac:dyDescent="0.35">
      <c r="A128" t="s">
        <v>49</v>
      </c>
      <c r="B128" t="s">
        <v>53</v>
      </c>
      <c r="C128">
        <v>9619</v>
      </c>
      <c r="D128">
        <v>2908</v>
      </c>
      <c r="E128">
        <v>0.3</v>
      </c>
      <c r="F128">
        <v>199</v>
      </c>
      <c r="G128">
        <v>0.05</v>
      </c>
      <c r="H128">
        <v>1476</v>
      </c>
      <c r="I128">
        <v>0.51</v>
      </c>
      <c r="J128">
        <v>1211</v>
      </c>
      <c r="K128">
        <v>25311.15</v>
      </c>
      <c r="L128">
        <v>-265.42399999999998</v>
      </c>
      <c r="M128" t="str">
        <f t="shared" si="3"/>
        <v>Phrase Mob</v>
      </c>
    </row>
    <row r="129" spans="1:13" x14ac:dyDescent="0.35">
      <c r="A129" t="s">
        <v>15</v>
      </c>
      <c r="B129" t="s">
        <v>53</v>
      </c>
      <c r="C129">
        <v>2336</v>
      </c>
      <c r="D129">
        <v>855</v>
      </c>
      <c r="E129">
        <v>0.37</v>
      </c>
      <c r="F129">
        <v>173</v>
      </c>
      <c r="G129">
        <v>0.1</v>
      </c>
      <c r="H129">
        <v>1081</v>
      </c>
      <c r="I129">
        <v>1.27</v>
      </c>
      <c r="J129">
        <v>1179</v>
      </c>
      <c r="K129">
        <v>25104.240000000002</v>
      </c>
      <c r="L129">
        <v>97.763999999999996</v>
      </c>
      <c r="M129" t="str">
        <f t="shared" si="3"/>
        <v>1:1 Desk</v>
      </c>
    </row>
    <row r="130" spans="1:13" x14ac:dyDescent="0.35">
      <c r="A130" t="s">
        <v>32</v>
      </c>
      <c r="B130" t="s">
        <v>53</v>
      </c>
      <c r="C130">
        <v>4715</v>
      </c>
      <c r="D130">
        <v>1397</v>
      </c>
      <c r="E130">
        <v>0.3</v>
      </c>
      <c r="F130">
        <v>93</v>
      </c>
      <c r="G130">
        <v>0.05</v>
      </c>
      <c r="H130">
        <v>615</v>
      </c>
      <c r="I130">
        <v>0.44</v>
      </c>
      <c r="J130">
        <v>587</v>
      </c>
      <c r="K130">
        <v>12245.37</v>
      </c>
      <c r="L130">
        <v>-27.853999999999999</v>
      </c>
      <c r="M130" t="str">
        <f t="shared" ref="M130:M161" si="4">IFERROR(
    IF(AND(ISNUMBER(SEARCH("1:1", A130)), ISNUMBER(SEARCH("Desk", A130))), "1:1 Desk",
    IF(AND(ISNUMBER(SEARCH("1:1", A130)), ISNUMBER(SEARCH("Mob", A130))), "1:1 Mob",
    IF(AND(ISNUMBER(SEARCH("Exact", A130)), ISNUMBER(SEARCH("Desk", A130))), "Exact Desk",
    IF(AND(ISNUMBER(SEARCH("Exact", A130)), ISNUMBER(SEARCH("Mob", A130))), "Exact Mob",
    IF(AND(ISNUMBER(SEARCH("Phrase", A130)), ISNUMBER(SEARCH("Desk", A130))), "Phrase Desk",
    IF(AND(ISNUMBER(SEARCH("Phrase", A130)), ISNUMBER(SEARCH("Mob", A130))), "Phrase Mob",
    "Other")))))),
"Other")</f>
        <v>Exact Mob</v>
      </c>
    </row>
    <row r="131" spans="1:13" x14ac:dyDescent="0.35">
      <c r="A131" t="s">
        <v>41</v>
      </c>
      <c r="B131" t="s">
        <v>53</v>
      </c>
      <c r="C131">
        <v>2065</v>
      </c>
      <c r="D131">
        <v>427</v>
      </c>
      <c r="E131">
        <v>0.21</v>
      </c>
      <c r="F131">
        <v>73</v>
      </c>
      <c r="G131">
        <v>0.11</v>
      </c>
      <c r="H131">
        <v>499</v>
      </c>
      <c r="I131">
        <v>1.17</v>
      </c>
      <c r="J131">
        <v>472</v>
      </c>
      <c r="K131">
        <v>9859.2000000000007</v>
      </c>
      <c r="L131">
        <v>-27.457000000000001</v>
      </c>
      <c r="M131" t="str">
        <f t="shared" si="4"/>
        <v>Phrase Desk</v>
      </c>
    </row>
    <row r="132" spans="1:13" x14ac:dyDescent="0.35">
      <c r="A132" t="s">
        <v>25</v>
      </c>
      <c r="B132" t="s">
        <v>53</v>
      </c>
      <c r="C132">
        <v>1770</v>
      </c>
      <c r="D132">
        <v>412</v>
      </c>
      <c r="E132">
        <v>0.23</v>
      </c>
      <c r="F132">
        <v>79</v>
      </c>
      <c r="G132">
        <v>0.11</v>
      </c>
      <c r="H132">
        <v>488</v>
      </c>
      <c r="I132">
        <v>1.19</v>
      </c>
      <c r="J132">
        <v>481</v>
      </c>
      <c r="K132">
        <v>11375.79</v>
      </c>
      <c r="L132">
        <v>-7.2549999999999999</v>
      </c>
      <c r="M132" t="str">
        <f t="shared" si="4"/>
        <v>Exact Desk</v>
      </c>
    </row>
    <row r="133" spans="1:13" x14ac:dyDescent="0.35">
      <c r="A133" t="s">
        <v>48</v>
      </c>
      <c r="B133" t="s">
        <v>53</v>
      </c>
      <c r="C133">
        <v>3279</v>
      </c>
      <c r="D133">
        <v>952</v>
      </c>
      <c r="E133">
        <v>0.28999999999999998</v>
      </c>
      <c r="F133">
        <v>61</v>
      </c>
      <c r="G133">
        <v>0.06</v>
      </c>
      <c r="H133">
        <v>468</v>
      </c>
      <c r="I133">
        <v>0.49</v>
      </c>
      <c r="J133">
        <v>423</v>
      </c>
      <c r="K133">
        <v>8585.4699999999993</v>
      </c>
      <c r="L133">
        <v>-45.085000000000001</v>
      </c>
      <c r="M133" t="str">
        <f t="shared" si="4"/>
        <v>Phrase Mob</v>
      </c>
    </row>
    <row r="134" spans="1:13" x14ac:dyDescent="0.35">
      <c r="A134" t="s">
        <v>29</v>
      </c>
      <c r="B134" t="s">
        <v>53</v>
      </c>
      <c r="C134">
        <v>7385</v>
      </c>
      <c r="D134">
        <v>756</v>
      </c>
      <c r="E134">
        <v>0.1</v>
      </c>
      <c r="F134">
        <v>37</v>
      </c>
      <c r="G134">
        <v>7.0000000000000007E-2</v>
      </c>
      <c r="H134">
        <v>447</v>
      </c>
      <c r="I134">
        <v>0.59</v>
      </c>
      <c r="J134">
        <v>198</v>
      </c>
      <c r="K134">
        <v>3967.4</v>
      </c>
      <c r="L134">
        <v>-248.60499999999999</v>
      </c>
      <c r="M134" t="str">
        <f t="shared" si="4"/>
        <v>Exact Desk</v>
      </c>
    </row>
    <row r="135" spans="1:13" x14ac:dyDescent="0.35">
      <c r="A135" t="s">
        <v>17</v>
      </c>
      <c r="B135" t="s">
        <v>53</v>
      </c>
      <c r="C135">
        <v>965</v>
      </c>
      <c r="D135">
        <v>280</v>
      </c>
      <c r="E135">
        <v>0.28999999999999998</v>
      </c>
      <c r="F135">
        <v>59</v>
      </c>
      <c r="G135">
        <v>0.12</v>
      </c>
      <c r="H135">
        <v>422</v>
      </c>
      <c r="I135">
        <v>1.51</v>
      </c>
      <c r="J135">
        <v>446</v>
      </c>
      <c r="K135">
        <v>9021.68</v>
      </c>
      <c r="L135">
        <v>24.122</v>
      </c>
      <c r="M135" t="str">
        <f t="shared" si="4"/>
        <v>1:1 Desk</v>
      </c>
    </row>
    <row r="136" spans="1:13" x14ac:dyDescent="0.35">
      <c r="A136" t="s">
        <v>45</v>
      </c>
      <c r="B136" t="s">
        <v>53</v>
      </c>
      <c r="C136">
        <v>2524</v>
      </c>
      <c r="D136">
        <v>819</v>
      </c>
      <c r="E136">
        <v>0.32</v>
      </c>
      <c r="F136">
        <v>82</v>
      </c>
      <c r="G136">
        <v>7.0000000000000007E-2</v>
      </c>
      <c r="H136">
        <v>418</v>
      </c>
      <c r="I136">
        <v>0.51</v>
      </c>
      <c r="J136">
        <v>535</v>
      </c>
      <c r="K136">
        <v>10694.68</v>
      </c>
      <c r="L136">
        <v>116.783</v>
      </c>
      <c r="M136" t="str">
        <f t="shared" si="4"/>
        <v>Phrase Mob</v>
      </c>
    </row>
    <row r="137" spans="1:13" x14ac:dyDescent="0.35">
      <c r="A137" t="s">
        <v>22</v>
      </c>
      <c r="B137" t="s">
        <v>53</v>
      </c>
      <c r="C137">
        <v>1706</v>
      </c>
      <c r="D137">
        <v>676</v>
      </c>
      <c r="E137">
        <v>0.4</v>
      </c>
      <c r="F137">
        <v>72</v>
      </c>
      <c r="G137">
        <v>7.0000000000000007E-2</v>
      </c>
      <c r="H137">
        <v>412</v>
      </c>
      <c r="I137">
        <v>0.61</v>
      </c>
      <c r="J137">
        <v>372</v>
      </c>
      <c r="K137">
        <v>7875.81</v>
      </c>
      <c r="L137">
        <v>-40.219000000000001</v>
      </c>
      <c r="M137" t="str">
        <f t="shared" si="4"/>
        <v>1:1 Mob</v>
      </c>
    </row>
    <row r="138" spans="1:13" x14ac:dyDescent="0.35">
      <c r="A138" t="s">
        <v>38</v>
      </c>
      <c r="B138" t="s">
        <v>53</v>
      </c>
      <c r="C138">
        <v>1398</v>
      </c>
      <c r="D138">
        <v>361</v>
      </c>
      <c r="E138">
        <v>0.26</v>
      </c>
      <c r="F138">
        <v>58</v>
      </c>
      <c r="G138">
        <v>0.09</v>
      </c>
      <c r="H138">
        <v>407</v>
      </c>
      <c r="I138">
        <v>1.1299999999999999</v>
      </c>
      <c r="J138">
        <v>340</v>
      </c>
      <c r="K138">
        <v>7222.9</v>
      </c>
      <c r="L138">
        <v>-66.819999999999993</v>
      </c>
      <c r="M138" t="str">
        <f t="shared" si="4"/>
        <v>Phrase Desk</v>
      </c>
    </row>
    <row r="139" spans="1:13" x14ac:dyDescent="0.35">
      <c r="A139" t="s">
        <v>46</v>
      </c>
      <c r="B139" t="s">
        <v>53</v>
      </c>
      <c r="C139">
        <v>3223</v>
      </c>
      <c r="D139">
        <v>752</v>
      </c>
      <c r="E139">
        <v>0.23</v>
      </c>
      <c r="F139">
        <v>43</v>
      </c>
      <c r="G139">
        <v>0.05</v>
      </c>
      <c r="H139">
        <v>316</v>
      </c>
      <c r="I139">
        <v>0.42</v>
      </c>
      <c r="J139">
        <v>498</v>
      </c>
      <c r="K139">
        <v>10932.34</v>
      </c>
      <c r="L139">
        <v>181.59700000000001</v>
      </c>
      <c r="M139" t="str">
        <f t="shared" si="4"/>
        <v>Phrase Mob</v>
      </c>
    </row>
    <row r="140" spans="1:13" x14ac:dyDescent="0.35">
      <c r="A140" t="s">
        <v>34</v>
      </c>
      <c r="B140" t="s">
        <v>53</v>
      </c>
      <c r="C140">
        <v>1408</v>
      </c>
      <c r="D140">
        <v>463</v>
      </c>
      <c r="E140">
        <v>0.33</v>
      </c>
      <c r="F140">
        <v>42</v>
      </c>
      <c r="G140">
        <v>7.0000000000000007E-2</v>
      </c>
      <c r="H140">
        <v>290</v>
      </c>
      <c r="I140">
        <v>0.63</v>
      </c>
      <c r="J140">
        <v>295</v>
      </c>
      <c r="K140">
        <v>6331.84</v>
      </c>
      <c r="L140">
        <v>5.2530000000000001</v>
      </c>
      <c r="M140" t="str">
        <f t="shared" si="4"/>
        <v>Exact Mob</v>
      </c>
    </row>
    <row r="141" spans="1:13" x14ac:dyDescent="0.35">
      <c r="A141" t="s">
        <v>27</v>
      </c>
      <c r="B141" t="s">
        <v>53</v>
      </c>
      <c r="C141">
        <v>649</v>
      </c>
      <c r="D141">
        <v>151</v>
      </c>
      <c r="E141">
        <v>0.23</v>
      </c>
      <c r="F141">
        <v>25</v>
      </c>
      <c r="G141">
        <v>0.12</v>
      </c>
      <c r="H141">
        <v>282</v>
      </c>
      <c r="I141">
        <v>1.87</v>
      </c>
      <c r="J141">
        <v>165</v>
      </c>
      <c r="K141">
        <v>3293.63</v>
      </c>
      <c r="L141">
        <v>-117.279</v>
      </c>
      <c r="M141" t="str">
        <f t="shared" si="4"/>
        <v>Exact Desk</v>
      </c>
    </row>
    <row r="142" spans="1:13" x14ac:dyDescent="0.35">
      <c r="A142" t="s">
        <v>36</v>
      </c>
      <c r="B142" t="s">
        <v>53</v>
      </c>
      <c r="C142">
        <v>8454</v>
      </c>
      <c r="D142">
        <v>726</v>
      </c>
      <c r="E142">
        <v>0.09</v>
      </c>
      <c r="F142">
        <v>26</v>
      </c>
      <c r="G142">
        <v>0.04</v>
      </c>
      <c r="H142">
        <v>277</v>
      </c>
      <c r="I142">
        <v>0.38</v>
      </c>
      <c r="J142">
        <v>115</v>
      </c>
      <c r="K142">
        <v>2300.7199999999998</v>
      </c>
      <c r="L142">
        <v>-161.95099999999999</v>
      </c>
      <c r="M142" t="str">
        <f t="shared" si="4"/>
        <v>Exact Mob</v>
      </c>
    </row>
    <row r="143" spans="1:13" x14ac:dyDescent="0.35">
      <c r="A143" t="s">
        <v>50</v>
      </c>
      <c r="B143" t="s">
        <v>53</v>
      </c>
      <c r="C143">
        <v>4894</v>
      </c>
      <c r="D143">
        <v>551</v>
      </c>
      <c r="E143">
        <v>0.11</v>
      </c>
      <c r="F143">
        <v>24</v>
      </c>
      <c r="G143">
        <v>0.05</v>
      </c>
      <c r="H143">
        <v>226</v>
      </c>
      <c r="I143">
        <v>0.41</v>
      </c>
      <c r="J143">
        <v>122</v>
      </c>
      <c r="K143">
        <v>2612.6799999999998</v>
      </c>
      <c r="L143">
        <v>-104.006</v>
      </c>
      <c r="M143" t="str">
        <f t="shared" si="4"/>
        <v>Phrase Mob</v>
      </c>
    </row>
    <row r="144" spans="1:13" x14ac:dyDescent="0.35">
      <c r="A144" t="s">
        <v>39</v>
      </c>
      <c r="B144" t="s">
        <v>53</v>
      </c>
      <c r="C144">
        <v>1074</v>
      </c>
      <c r="D144">
        <v>190</v>
      </c>
      <c r="E144">
        <v>0.18</v>
      </c>
      <c r="F144">
        <v>22</v>
      </c>
      <c r="G144">
        <v>7.0000000000000007E-2</v>
      </c>
      <c r="H144">
        <v>190</v>
      </c>
      <c r="I144">
        <v>1.01</v>
      </c>
      <c r="J144">
        <v>184</v>
      </c>
      <c r="K144">
        <v>4345.1499999999996</v>
      </c>
      <c r="L144">
        <v>-6.2869999999999999</v>
      </c>
      <c r="M144" t="str">
        <f t="shared" si="4"/>
        <v>Phrase Desk</v>
      </c>
    </row>
    <row r="145" spans="1:13" x14ac:dyDescent="0.35">
      <c r="A145" t="s">
        <v>43</v>
      </c>
      <c r="B145" t="s">
        <v>53</v>
      </c>
      <c r="C145">
        <v>3023</v>
      </c>
      <c r="D145">
        <v>228</v>
      </c>
      <c r="E145">
        <v>0.08</v>
      </c>
      <c r="F145">
        <v>14</v>
      </c>
      <c r="G145">
        <v>0.06</v>
      </c>
      <c r="H145">
        <v>172</v>
      </c>
      <c r="I145">
        <v>0.76</v>
      </c>
      <c r="J145">
        <v>108</v>
      </c>
      <c r="K145">
        <v>2152.46</v>
      </c>
      <c r="L145">
        <v>-64.370999999999995</v>
      </c>
      <c r="M145" t="str">
        <f t="shared" si="4"/>
        <v>Phrase Desk</v>
      </c>
    </row>
    <row r="146" spans="1:13" x14ac:dyDescent="0.35">
      <c r="A146" t="s">
        <v>30</v>
      </c>
      <c r="B146" t="s">
        <v>53</v>
      </c>
      <c r="C146">
        <v>1000</v>
      </c>
      <c r="D146">
        <v>321</v>
      </c>
      <c r="E146">
        <v>0.32</v>
      </c>
      <c r="F146">
        <v>23</v>
      </c>
      <c r="G146">
        <v>0.06</v>
      </c>
      <c r="H146">
        <v>154</v>
      </c>
      <c r="I146">
        <v>0.48</v>
      </c>
      <c r="J146">
        <v>136</v>
      </c>
      <c r="K146">
        <v>2793.15</v>
      </c>
      <c r="L146">
        <v>-17.826000000000001</v>
      </c>
      <c r="M146" t="str">
        <f t="shared" si="4"/>
        <v>Exact Mob</v>
      </c>
    </row>
    <row r="147" spans="1:13" x14ac:dyDescent="0.35">
      <c r="A147" t="s">
        <v>23</v>
      </c>
      <c r="B147" t="s">
        <v>53</v>
      </c>
      <c r="C147">
        <v>451</v>
      </c>
      <c r="D147">
        <v>93</v>
      </c>
      <c r="E147">
        <v>0.21</v>
      </c>
      <c r="F147">
        <v>11</v>
      </c>
      <c r="G147">
        <v>7.0000000000000007E-2</v>
      </c>
      <c r="H147">
        <v>111</v>
      </c>
      <c r="I147">
        <v>1.2</v>
      </c>
      <c r="J147">
        <v>81</v>
      </c>
      <c r="K147">
        <v>1626.05</v>
      </c>
      <c r="L147">
        <v>-29.693999999999999</v>
      </c>
      <c r="M147" t="str">
        <f t="shared" si="4"/>
        <v>Exact Desk</v>
      </c>
    </row>
    <row r="148" spans="1:13" x14ac:dyDescent="0.35">
      <c r="A148" t="s">
        <v>33</v>
      </c>
      <c r="B148" t="s">
        <v>53</v>
      </c>
      <c r="C148">
        <v>709</v>
      </c>
      <c r="D148">
        <v>208</v>
      </c>
      <c r="E148">
        <v>0.28999999999999998</v>
      </c>
      <c r="F148">
        <v>12</v>
      </c>
      <c r="G148">
        <v>0.08</v>
      </c>
      <c r="H148">
        <v>45</v>
      </c>
      <c r="I148">
        <v>0.22</v>
      </c>
      <c r="J148">
        <v>14</v>
      </c>
      <c r="K148">
        <v>309.08999999999997</v>
      </c>
      <c r="L148">
        <v>-30.542000000000002</v>
      </c>
      <c r="M148" t="str">
        <f t="shared" si="4"/>
        <v>Exact Mob</v>
      </c>
    </row>
    <row r="149" spans="1:13" x14ac:dyDescent="0.35">
      <c r="A149" t="s">
        <v>26</v>
      </c>
      <c r="B149" t="s">
        <v>53</v>
      </c>
      <c r="C149">
        <v>457</v>
      </c>
      <c r="D149">
        <v>99</v>
      </c>
      <c r="E149">
        <v>0.22</v>
      </c>
      <c r="F149">
        <v>13</v>
      </c>
      <c r="G149">
        <v>0.14000000000000001</v>
      </c>
      <c r="H149">
        <v>35</v>
      </c>
      <c r="I149">
        <v>0.36</v>
      </c>
      <c r="J149">
        <v>23</v>
      </c>
      <c r="K149">
        <v>469.67</v>
      </c>
      <c r="L149">
        <v>-11.512</v>
      </c>
      <c r="M149" t="str">
        <f t="shared" si="4"/>
        <v>Exact Desk</v>
      </c>
    </row>
    <row r="150" spans="1:13" x14ac:dyDescent="0.35">
      <c r="A150" t="s">
        <v>44</v>
      </c>
      <c r="B150" t="s">
        <v>53</v>
      </c>
      <c r="C150">
        <v>44</v>
      </c>
      <c r="D150">
        <v>12</v>
      </c>
      <c r="E150">
        <v>0.27</v>
      </c>
      <c r="F150">
        <v>2</v>
      </c>
      <c r="G150">
        <v>0.13</v>
      </c>
      <c r="H150">
        <v>8</v>
      </c>
      <c r="I150">
        <v>0.67</v>
      </c>
      <c r="J150">
        <v>22</v>
      </c>
      <c r="K150">
        <v>431.41</v>
      </c>
      <c r="L150">
        <v>13.574</v>
      </c>
      <c r="M150" t="str">
        <f t="shared" si="4"/>
        <v>Phrase Mob</v>
      </c>
    </row>
    <row r="151" spans="1:13" x14ac:dyDescent="0.35">
      <c r="A151" t="s">
        <v>40</v>
      </c>
      <c r="B151" t="s">
        <v>53</v>
      </c>
      <c r="C151">
        <v>72</v>
      </c>
      <c r="D151">
        <v>9</v>
      </c>
      <c r="E151">
        <v>0.13</v>
      </c>
      <c r="F151">
        <v>1</v>
      </c>
      <c r="G151">
        <v>0.14000000000000001</v>
      </c>
      <c r="H151">
        <v>5</v>
      </c>
      <c r="I151">
        <v>0.56999999999999995</v>
      </c>
      <c r="J151">
        <v>8</v>
      </c>
      <c r="K151">
        <v>157.97</v>
      </c>
      <c r="L151">
        <v>2.9</v>
      </c>
      <c r="M151" t="str">
        <f t="shared" si="4"/>
        <v>Phrase Desk</v>
      </c>
    </row>
    <row r="152" spans="1:13" x14ac:dyDescent="0.35">
      <c r="A152" t="s">
        <v>47</v>
      </c>
      <c r="B152" t="s">
        <v>53</v>
      </c>
      <c r="C152">
        <v>100</v>
      </c>
      <c r="D152">
        <v>14</v>
      </c>
      <c r="E152">
        <v>0.14000000000000001</v>
      </c>
      <c r="F152">
        <v>3</v>
      </c>
      <c r="G152">
        <v>0.21</v>
      </c>
      <c r="H152">
        <v>3</v>
      </c>
      <c r="I152">
        <v>0.26</v>
      </c>
      <c r="J152">
        <v>4</v>
      </c>
      <c r="K152">
        <v>83.2</v>
      </c>
      <c r="L152">
        <v>1.161</v>
      </c>
      <c r="M152" t="str">
        <f t="shared" si="4"/>
        <v>Phrase Mob</v>
      </c>
    </row>
    <row r="153" spans="1:13" x14ac:dyDescent="0.35">
      <c r="A153" t="s">
        <v>19</v>
      </c>
      <c r="B153" t="s">
        <v>54</v>
      </c>
      <c r="C153">
        <v>276568</v>
      </c>
      <c r="D153">
        <v>99526</v>
      </c>
      <c r="E153">
        <v>0.36</v>
      </c>
      <c r="F153">
        <v>5961</v>
      </c>
      <c r="G153">
        <v>0.05</v>
      </c>
      <c r="H153">
        <v>38273</v>
      </c>
      <c r="I153">
        <v>0.38</v>
      </c>
      <c r="J153">
        <v>32668</v>
      </c>
      <c r="K153">
        <v>677188.1</v>
      </c>
      <c r="L153">
        <v>-5605.2969999999996</v>
      </c>
      <c r="M153" t="str">
        <f t="shared" si="4"/>
        <v>1:1 Mob</v>
      </c>
    </row>
    <row r="154" spans="1:13" x14ac:dyDescent="0.35">
      <c r="A154" t="s">
        <v>14</v>
      </c>
      <c r="B154" t="s">
        <v>54</v>
      </c>
      <c r="C154">
        <v>73448</v>
      </c>
      <c r="D154">
        <v>25283</v>
      </c>
      <c r="E154">
        <v>0.34</v>
      </c>
      <c r="F154">
        <v>4080</v>
      </c>
      <c r="G154">
        <v>0.1</v>
      </c>
      <c r="H154">
        <v>27336</v>
      </c>
      <c r="I154">
        <v>1.08</v>
      </c>
      <c r="J154">
        <v>23857</v>
      </c>
      <c r="K154">
        <v>497790.81</v>
      </c>
      <c r="L154">
        <v>-3478.6439999999998</v>
      </c>
      <c r="M154" t="str">
        <f t="shared" si="4"/>
        <v>1:1 Desk</v>
      </c>
    </row>
    <row r="155" spans="1:13" x14ac:dyDescent="0.35">
      <c r="A155" t="s">
        <v>16</v>
      </c>
      <c r="B155" t="s">
        <v>54</v>
      </c>
      <c r="C155">
        <v>64067</v>
      </c>
      <c r="D155">
        <v>23538</v>
      </c>
      <c r="E155">
        <v>0.37</v>
      </c>
      <c r="F155">
        <v>5782</v>
      </c>
      <c r="G155">
        <v>0.15</v>
      </c>
      <c r="H155">
        <v>37729</v>
      </c>
      <c r="I155">
        <v>1.6</v>
      </c>
      <c r="J155">
        <v>34518</v>
      </c>
      <c r="K155">
        <v>725773.92</v>
      </c>
      <c r="L155">
        <v>-3211.1210000000001</v>
      </c>
      <c r="M155" t="str">
        <f t="shared" si="4"/>
        <v>1:1 Desk</v>
      </c>
    </row>
    <row r="156" spans="1:13" x14ac:dyDescent="0.35">
      <c r="A156" t="s">
        <v>36</v>
      </c>
      <c r="B156" t="s">
        <v>54</v>
      </c>
      <c r="C156">
        <v>15422</v>
      </c>
      <c r="D156">
        <v>2078</v>
      </c>
      <c r="E156">
        <v>0.13</v>
      </c>
      <c r="F156">
        <v>62</v>
      </c>
      <c r="G156">
        <v>0.03</v>
      </c>
      <c r="H156">
        <v>2597</v>
      </c>
      <c r="I156">
        <v>1.25</v>
      </c>
      <c r="J156">
        <v>427</v>
      </c>
      <c r="K156">
        <v>8733.41</v>
      </c>
      <c r="L156">
        <v>-2170.0439999999999</v>
      </c>
      <c r="M156" t="str">
        <f t="shared" si="4"/>
        <v>Exact Mob</v>
      </c>
    </row>
    <row r="157" spans="1:13" x14ac:dyDescent="0.35">
      <c r="A157" t="s">
        <v>12</v>
      </c>
      <c r="B157" t="s">
        <v>54</v>
      </c>
      <c r="C157">
        <v>38523</v>
      </c>
      <c r="D157">
        <v>14393</v>
      </c>
      <c r="E157">
        <v>0.37</v>
      </c>
      <c r="F157">
        <v>2713</v>
      </c>
      <c r="G157">
        <v>0.12</v>
      </c>
      <c r="H157">
        <v>18641</v>
      </c>
      <c r="I157">
        <v>1.3</v>
      </c>
      <c r="J157">
        <v>16555</v>
      </c>
      <c r="K157">
        <v>345891.36</v>
      </c>
      <c r="L157">
        <v>-2086.3000000000002</v>
      </c>
      <c r="M157" t="str">
        <f t="shared" si="4"/>
        <v>1:1 Desk</v>
      </c>
    </row>
    <row r="158" spans="1:13" x14ac:dyDescent="0.35">
      <c r="A158" t="s">
        <v>48</v>
      </c>
      <c r="B158" t="s">
        <v>54</v>
      </c>
      <c r="C158">
        <v>31793</v>
      </c>
      <c r="D158">
        <v>7159</v>
      </c>
      <c r="E158">
        <v>0.23</v>
      </c>
      <c r="F158">
        <v>532</v>
      </c>
      <c r="G158">
        <v>0.08</v>
      </c>
      <c r="H158">
        <v>5075</v>
      </c>
      <c r="I158">
        <v>0.71</v>
      </c>
      <c r="J158">
        <v>3260</v>
      </c>
      <c r="K158">
        <v>66443.240000000005</v>
      </c>
      <c r="L158">
        <v>-1814.5619999999999</v>
      </c>
      <c r="M158" t="str">
        <f t="shared" si="4"/>
        <v>Phrase Mob</v>
      </c>
    </row>
    <row r="159" spans="1:13" x14ac:dyDescent="0.35">
      <c r="A159" t="s">
        <v>49</v>
      </c>
      <c r="B159" t="s">
        <v>54</v>
      </c>
      <c r="C159">
        <v>50422</v>
      </c>
      <c r="D159">
        <v>10147</v>
      </c>
      <c r="E159">
        <v>0.2</v>
      </c>
      <c r="F159">
        <v>773</v>
      </c>
      <c r="G159">
        <v>0.06</v>
      </c>
      <c r="H159">
        <v>5764</v>
      </c>
      <c r="I159">
        <v>0.56999999999999995</v>
      </c>
      <c r="J159">
        <v>4472</v>
      </c>
      <c r="K159">
        <v>92805.77</v>
      </c>
      <c r="L159">
        <v>-1291.9079999999999</v>
      </c>
      <c r="M159" t="str">
        <f t="shared" si="4"/>
        <v>Phrase Mob</v>
      </c>
    </row>
    <row r="160" spans="1:13" x14ac:dyDescent="0.35">
      <c r="A160" t="s">
        <v>31</v>
      </c>
      <c r="B160" t="s">
        <v>54</v>
      </c>
      <c r="C160">
        <v>54501</v>
      </c>
      <c r="D160">
        <v>19058</v>
      </c>
      <c r="E160">
        <v>0.35</v>
      </c>
      <c r="F160">
        <v>1345</v>
      </c>
      <c r="G160">
        <v>0.05</v>
      </c>
      <c r="H160">
        <v>9302</v>
      </c>
      <c r="I160">
        <v>0.49</v>
      </c>
      <c r="J160">
        <v>8134</v>
      </c>
      <c r="K160">
        <v>171895.9</v>
      </c>
      <c r="L160">
        <v>-1168.009</v>
      </c>
      <c r="M160" t="str">
        <f t="shared" si="4"/>
        <v>Exact Mob</v>
      </c>
    </row>
    <row r="161" spans="1:13" x14ac:dyDescent="0.35">
      <c r="A161" t="s">
        <v>21</v>
      </c>
      <c r="B161" t="s">
        <v>54</v>
      </c>
      <c r="C161">
        <v>138811</v>
      </c>
      <c r="D161">
        <v>57405</v>
      </c>
      <c r="E161">
        <v>0.41</v>
      </c>
      <c r="F161">
        <v>7563</v>
      </c>
      <c r="G161">
        <v>0.1</v>
      </c>
      <c r="H161">
        <v>43542</v>
      </c>
      <c r="I161">
        <v>0.76</v>
      </c>
      <c r="J161">
        <v>42440</v>
      </c>
      <c r="K161">
        <v>886095.31</v>
      </c>
      <c r="L161">
        <v>-1101.8989999999999</v>
      </c>
      <c r="M161" t="str">
        <f t="shared" si="4"/>
        <v>1:1 Mob</v>
      </c>
    </row>
    <row r="162" spans="1:13" x14ac:dyDescent="0.35">
      <c r="A162" t="s">
        <v>46</v>
      </c>
      <c r="B162" t="s">
        <v>54</v>
      </c>
      <c r="C162">
        <v>24726</v>
      </c>
      <c r="D162">
        <v>5216</v>
      </c>
      <c r="E162">
        <v>0.21</v>
      </c>
      <c r="F162">
        <v>277</v>
      </c>
      <c r="G162">
        <v>0.05</v>
      </c>
      <c r="H162">
        <v>2916</v>
      </c>
      <c r="I162">
        <v>0.56000000000000005</v>
      </c>
      <c r="J162">
        <v>1981</v>
      </c>
      <c r="K162">
        <v>42318.64</v>
      </c>
      <c r="L162">
        <v>-935.29499999999996</v>
      </c>
      <c r="M162" t="str">
        <f t="shared" ref="M162:M191" si="5">IFERROR(
    IF(AND(ISNUMBER(SEARCH("1:1", A162)), ISNUMBER(SEARCH("Desk", A162))), "1:1 Desk",
    IF(AND(ISNUMBER(SEARCH("1:1", A162)), ISNUMBER(SEARCH("Mob", A162))), "1:1 Mob",
    IF(AND(ISNUMBER(SEARCH("Exact", A162)), ISNUMBER(SEARCH("Desk", A162))), "Exact Desk",
    IF(AND(ISNUMBER(SEARCH("Exact", A162)), ISNUMBER(SEARCH("Mob", A162))), "Exact Mob",
    IF(AND(ISNUMBER(SEARCH("Phrase", A162)), ISNUMBER(SEARCH("Desk", A162))), "Phrase Desk",
    IF(AND(ISNUMBER(SEARCH("Phrase", A162)), ISNUMBER(SEARCH("Mob", A162))), "Phrase Mob",
    "Other")))))),
"Other")</f>
        <v>Phrase Mob</v>
      </c>
    </row>
    <row r="163" spans="1:13" x14ac:dyDescent="0.35">
      <c r="A163" t="s">
        <v>32</v>
      </c>
      <c r="B163" t="s">
        <v>54</v>
      </c>
      <c r="C163">
        <v>20699</v>
      </c>
      <c r="D163">
        <v>5540</v>
      </c>
      <c r="E163">
        <v>0.27</v>
      </c>
      <c r="F163">
        <v>320</v>
      </c>
      <c r="G163">
        <v>0.05</v>
      </c>
      <c r="H163">
        <v>2893</v>
      </c>
      <c r="I163">
        <v>0.52</v>
      </c>
      <c r="J163">
        <v>2003</v>
      </c>
      <c r="K163">
        <v>44985.83</v>
      </c>
      <c r="L163">
        <v>-890.16399999999999</v>
      </c>
      <c r="M163" t="str">
        <f t="shared" si="5"/>
        <v>Exact Mob</v>
      </c>
    </row>
    <row r="164" spans="1:13" x14ac:dyDescent="0.35">
      <c r="A164" t="s">
        <v>20</v>
      </c>
      <c r="B164" t="s">
        <v>54</v>
      </c>
      <c r="C164">
        <v>18275</v>
      </c>
      <c r="D164">
        <v>8012</v>
      </c>
      <c r="E164">
        <v>0.44</v>
      </c>
      <c r="F164">
        <v>808</v>
      </c>
      <c r="G164">
        <v>7.0000000000000007E-2</v>
      </c>
      <c r="H164">
        <v>5651</v>
      </c>
      <c r="I164">
        <v>0.71</v>
      </c>
      <c r="J164">
        <v>4773</v>
      </c>
      <c r="K164">
        <v>99420.38</v>
      </c>
      <c r="L164">
        <v>-877.98599999999999</v>
      </c>
      <c r="M164" t="str">
        <f t="shared" si="5"/>
        <v>1:1 Mob</v>
      </c>
    </row>
    <row r="165" spans="1:13" x14ac:dyDescent="0.35">
      <c r="A165" t="s">
        <v>29</v>
      </c>
      <c r="B165" t="s">
        <v>54</v>
      </c>
      <c r="C165">
        <v>19335</v>
      </c>
      <c r="D165">
        <v>1689</v>
      </c>
      <c r="E165">
        <v>0.09</v>
      </c>
      <c r="F165">
        <v>85</v>
      </c>
      <c r="G165">
        <v>0.06</v>
      </c>
      <c r="H165">
        <v>1118</v>
      </c>
      <c r="I165">
        <v>0.66</v>
      </c>
      <c r="J165">
        <v>422</v>
      </c>
      <c r="K165">
        <v>8962.23</v>
      </c>
      <c r="L165">
        <v>-696.15200000000004</v>
      </c>
      <c r="M165" t="str">
        <f t="shared" si="5"/>
        <v>Exact Desk</v>
      </c>
    </row>
    <row r="166" spans="1:13" x14ac:dyDescent="0.35">
      <c r="A166" t="s">
        <v>42</v>
      </c>
      <c r="B166" t="s">
        <v>54</v>
      </c>
      <c r="C166">
        <v>39649</v>
      </c>
      <c r="D166">
        <v>8281</v>
      </c>
      <c r="E166">
        <v>0.21</v>
      </c>
      <c r="F166">
        <v>1640</v>
      </c>
      <c r="G166">
        <v>0.13</v>
      </c>
      <c r="H166">
        <v>10823</v>
      </c>
      <c r="I166">
        <v>1.31</v>
      </c>
      <c r="J166">
        <v>10223</v>
      </c>
      <c r="K166">
        <v>215898.79</v>
      </c>
      <c r="L166">
        <v>-600.45600000000002</v>
      </c>
      <c r="M166" t="str">
        <f t="shared" si="5"/>
        <v>Phrase Desk</v>
      </c>
    </row>
    <row r="167" spans="1:13" x14ac:dyDescent="0.35">
      <c r="A167" t="s">
        <v>41</v>
      </c>
      <c r="B167" t="s">
        <v>54</v>
      </c>
      <c r="C167">
        <v>12209</v>
      </c>
      <c r="D167">
        <v>1663</v>
      </c>
      <c r="E167">
        <v>0.14000000000000001</v>
      </c>
      <c r="F167">
        <v>182</v>
      </c>
      <c r="G167">
        <v>0.1</v>
      </c>
      <c r="H167">
        <v>1600</v>
      </c>
      <c r="I167">
        <v>0.96</v>
      </c>
      <c r="J167">
        <v>1164</v>
      </c>
      <c r="K167">
        <v>25635.15</v>
      </c>
      <c r="L167">
        <v>-435.96699999999998</v>
      </c>
      <c r="M167" t="str">
        <f t="shared" si="5"/>
        <v>Phrase Desk</v>
      </c>
    </row>
    <row r="168" spans="1:13" x14ac:dyDescent="0.35">
      <c r="A168" t="s">
        <v>50</v>
      </c>
      <c r="B168" t="s">
        <v>54</v>
      </c>
      <c r="C168">
        <v>13056</v>
      </c>
      <c r="D168">
        <v>927</v>
      </c>
      <c r="E168">
        <v>7.0000000000000007E-2</v>
      </c>
      <c r="F168">
        <v>20</v>
      </c>
      <c r="G168">
        <v>0.03</v>
      </c>
      <c r="H168">
        <v>376</v>
      </c>
      <c r="I168">
        <v>0.41</v>
      </c>
      <c r="J168">
        <v>76</v>
      </c>
      <c r="K168">
        <v>1518.51</v>
      </c>
      <c r="L168">
        <v>-300.06599999999997</v>
      </c>
      <c r="M168" t="str">
        <f t="shared" si="5"/>
        <v>Phrase Mob</v>
      </c>
    </row>
    <row r="169" spans="1:13" x14ac:dyDescent="0.35">
      <c r="A169" t="s">
        <v>45</v>
      </c>
      <c r="B169" t="s">
        <v>54</v>
      </c>
      <c r="C169">
        <v>6765</v>
      </c>
      <c r="D169">
        <v>1844</v>
      </c>
      <c r="E169">
        <v>0.27</v>
      </c>
      <c r="F169">
        <v>88</v>
      </c>
      <c r="G169">
        <v>0.04</v>
      </c>
      <c r="H169">
        <v>861</v>
      </c>
      <c r="I169">
        <v>0.47</v>
      </c>
      <c r="J169">
        <v>573</v>
      </c>
      <c r="K169">
        <v>13341.64</v>
      </c>
      <c r="L169">
        <v>-288.08499999999998</v>
      </c>
      <c r="M169" t="str">
        <f t="shared" si="5"/>
        <v>Phrase Mob</v>
      </c>
    </row>
    <row r="170" spans="1:13" x14ac:dyDescent="0.35">
      <c r="A170" t="s">
        <v>39</v>
      </c>
      <c r="B170" t="s">
        <v>54</v>
      </c>
      <c r="C170">
        <v>6200</v>
      </c>
      <c r="D170">
        <v>975</v>
      </c>
      <c r="E170">
        <v>0.16</v>
      </c>
      <c r="F170">
        <v>108</v>
      </c>
      <c r="G170">
        <v>0.08</v>
      </c>
      <c r="H170">
        <v>1102</v>
      </c>
      <c r="I170">
        <v>1.1299999999999999</v>
      </c>
      <c r="J170">
        <v>844</v>
      </c>
      <c r="K170">
        <v>19822.400000000001</v>
      </c>
      <c r="L170">
        <v>-257.63799999999998</v>
      </c>
      <c r="M170" t="str">
        <f t="shared" si="5"/>
        <v>Phrase Desk</v>
      </c>
    </row>
    <row r="171" spans="1:13" x14ac:dyDescent="0.35">
      <c r="A171" t="s">
        <v>25</v>
      </c>
      <c r="B171" t="s">
        <v>54</v>
      </c>
      <c r="C171">
        <v>7365</v>
      </c>
      <c r="D171">
        <v>1348</v>
      </c>
      <c r="E171">
        <v>0.18</v>
      </c>
      <c r="F171">
        <v>164</v>
      </c>
      <c r="G171">
        <v>0.09</v>
      </c>
      <c r="H171">
        <v>1315</v>
      </c>
      <c r="I171">
        <v>0.98</v>
      </c>
      <c r="J171">
        <v>1061</v>
      </c>
      <c r="K171">
        <v>22711.98</v>
      </c>
      <c r="L171">
        <v>-253.80099999999999</v>
      </c>
      <c r="M171" t="str">
        <f t="shared" si="5"/>
        <v>Exact Desk</v>
      </c>
    </row>
    <row r="172" spans="1:13" x14ac:dyDescent="0.35">
      <c r="A172" t="s">
        <v>38</v>
      </c>
      <c r="B172" t="s">
        <v>54</v>
      </c>
      <c r="C172">
        <v>7475</v>
      </c>
      <c r="D172">
        <v>1977</v>
      </c>
      <c r="E172">
        <v>0.26</v>
      </c>
      <c r="F172">
        <v>382</v>
      </c>
      <c r="G172">
        <v>0.12</v>
      </c>
      <c r="H172">
        <v>2616</v>
      </c>
      <c r="I172">
        <v>1.32</v>
      </c>
      <c r="J172">
        <v>2368</v>
      </c>
      <c r="K172">
        <v>50293.23</v>
      </c>
      <c r="L172">
        <v>-248.203</v>
      </c>
      <c r="M172" t="str">
        <f t="shared" si="5"/>
        <v>Phrase Desk</v>
      </c>
    </row>
    <row r="173" spans="1:13" x14ac:dyDescent="0.35">
      <c r="A173" t="s">
        <v>43</v>
      </c>
      <c r="B173" t="s">
        <v>54</v>
      </c>
      <c r="C173">
        <v>10262</v>
      </c>
      <c r="D173">
        <v>667</v>
      </c>
      <c r="E173">
        <v>0.06</v>
      </c>
      <c r="F173">
        <v>30</v>
      </c>
      <c r="G173">
        <v>0.05</v>
      </c>
      <c r="H173">
        <v>386</v>
      </c>
      <c r="I173">
        <v>0.57999999999999996</v>
      </c>
      <c r="J173">
        <v>165</v>
      </c>
      <c r="K173">
        <v>3302.8</v>
      </c>
      <c r="L173">
        <v>-220.84200000000001</v>
      </c>
      <c r="M173" t="str">
        <f t="shared" si="5"/>
        <v>Phrase Desk</v>
      </c>
    </row>
    <row r="174" spans="1:13" x14ac:dyDescent="0.35">
      <c r="A174" t="s">
        <v>30</v>
      </c>
      <c r="B174" t="s">
        <v>54</v>
      </c>
      <c r="C174">
        <v>3155</v>
      </c>
      <c r="D174">
        <v>871</v>
      </c>
      <c r="E174">
        <v>0.28000000000000003</v>
      </c>
      <c r="F174">
        <v>54</v>
      </c>
      <c r="G174">
        <v>0.06</v>
      </c>
      <c r="H174">
        <v>402</v>
      </c>
      <c r="I174">
        <v>0.46</v>
      </c>
      <c r="J174">
        <v>268</v>
      </c>
      <c r="K174">
        <v>6622.27</v>
      </c>
      <c r="L174">
        <v>-134.48400000000001</v>
      </c>
      <c r="M174" t="str">
        <f t="shared" si="5"/>
        <v>Exact Mob</v>
      </c>
    </row>
    <row r="175" spans="1:13" x14ac:dyDescent="0.35">
      <c r="A175" t="s">
        <v>17</v>
      </c>
      <c r="B175" t="s">
        <v>54</v>
      </c>
      <c r="C175">
        <v>2506</v>
      </c>
      <c r="D175">
        <v>708</v>
      </c>
      <c r="E175">
        <v>0.28000000000000003</v>
      </c>
      <c r="F175">
        <v>137</v>
      </c>
      <c r="G175">
        <v>0.12</v>
      </c>
      <c r="H175">
        <v>1039</v>
      </c>
      <c r="I175">
        <v>1.47</v>
      </c>
      <c r="J175">
        <v>910</v>
      </c>
      <c r="K175">
        <v>19932.689999999999</v>
      </c>
      <c r="L175">
        <v>-129.125</v>
      </c>
      <c r="M175" t="str">
        <f t="shared" si="5"/>
        <v>1:1 Desk</v>
      </c>
    </row>
    <row r="176" spans="1:13" x14ac:dyDescent="0.35">
      <c r="A176" t="s">
        <v>23</v>
      </c>
      <c r="B176" t="s">
        <v>54</v>
      </c>
      <c r="C176">
        <v>1692</v>
      </c>
      <c r="D176">
        <v>341</v>
      </c>
      <c r="E176">
        <v>0.2</v>
      </c>
      <c r="F176">
        <v>43</v>
      </c>
      <c r="G176">
        <v>0.09</v>
      </c>
      <c r="H176">
        <v>342</v>
      </c>
      <c r="I176">
        <v>1.01</v>
      </c>
      <c r="J176">
        <v>258</v>
      </c>
      <c r="K176">
        <v>5309.34</v>
      </c>
      <c r="L176">
        <v>-84.484999999999999</v>
      </c>
      <c r="M176" t="str">
        <f t="shared" si="5"/>
        <v>Exact Desk</v>
      </c>
    </row>
    <row r="177" spans="1:13" x14ac:dyDescent="0.35">
      <c r="A177" t="s">
        <v>18</v>
      </c>
      <c r="B177" t="s">
        <v>54</v>
      </c>
      <c r="C177">
        <v>99258</v>
      </c>
      <c r="D177">
        <v>42283</v>
      </c>
      <c r="E177">
        <v>0.43</v>
      </c>
      <c r="F177">
        <v>4349</v>
      </c>
      <c r="G177">
        <v>0.08</v>
      </c>
      <c r="H177">
        <v>24149</v>
      </c>
      <c r="I177">
        <v>0.56999999999999995</v>
      </c>
      <c r="J177">
        <v>24071</v>
      </c>
      <c r="K177">
        <v>500400.85</v>
      </c>
      <c r="L177">
        <v>-77.73</v>
      </c>
      <c r="M177" t="str">
        <f t="shared" si="5"/>
        <v>1:1 Mob</v>
      </c>
    </row>
    <row r="178" spans="1:13" x14ac:dyDescent="0.35">
      <c r="A178" t="s">
        <v>27</v>
      </c>
      <c r="B178" t="s">
        <v>54</v>
      </c>
      <c r="C178">
        <v>2760</v>
      </c>
      <c r="D178">
        <v>434</v>
      </c>
      <c r="E178">
        <v>0.16</v>
      </c>
      <c r="F178">
        <v>71</v>
      </c>
      <c r="G178">
        <v>0.12</v>
      </c>
      <c r="H178">
        <v>553</v>
      </c>
      <c r="I178">
        <v>1.28</v>
      </c>
      <c r="J178">
        <v>496</v>
      </c>
      <c r="K178">
        <v>11027.61</v>
      </c>
      <c r="L178">
        <v>-56.945</v>
      </c>
      <c r="M178" t="str">
        <f t="shared" si="5"/>
        <v>Exact Desk</v>
      </c>
    </row>
    <row r="179" spans="1:13" x14ac:dyDescent="0.35">
      <c r="A179" t="s">
        <v>35</v>
      </c>
      <c r="B179" t="s">
        <v>54</v>
      </c>
      <c r="C179">
        <v>51335</v>
      </c>
      <c r="D179">
        <v>19009</v>
      </c>
      <c r="E179">
        <v>0.37</v>
      </c>
      <c r="F179">
        <v>2095</v>
      </c>
      <c r="G179">
        <v>0.08</v>
      </c>
      <c r="H179">
        <v>12189</v>
      </c>
      <c r="I179">
        <v>0.64</v>
      </c>
      <c r="J179">
        <v>12145</v>
      </c>
      <c r="K179">
        <v>256314.93</v>
      </c>
      <c r="L179">
        <v>-44.189</v>
      </c>
      <c r="M179" t="str">
        <f t="shared" si="5"/>
        <v>Exact Mob</v>
      </c>
    </row>
    <row r="180" spans="1:13" x14ac:dyDescent="0.35">
      <c r="A180" t="s">
        <v>26</v>
      </c>
      <c r="B180" t="s">
        <v>54</v>
      </c>
      <c r="C180">
        <v>1805</v>
      </c>
      <c r="D180">
        <v>354</v>
      </c>
      <c r="E180">
        <v>0.2</v>
      </c>
      <c r="F180">
        <v>55</v>
      </c>
      <c r="G180">
        <v>0.14000000000000001</v>
      </c>
      <c r="H180">
        <v>134</v>
      </c>
      <c r="I180">
        <v>0.38</v>
      </c>
      <c r="J180">
        <v>95</v>
      </c>
      <c r="K180">
        <v>2156.0700000000002</v>
      </c>
      <c r="L180">
        <v>-38.959000000000003</v>
      </c>
      <c r="M180" t="str">
        <f t="shared" si="5"/>
        <v>Exact Desk</v>
      </c>
    </row>
    <row r="181" spans="1:13" x14ac:dyDescent="0.35">
      <c r="A181" t="s">
        <v>33</v>
      </c>
      <c r="B181" t="s">
        <v>54</v>
      </c>
      <c r="C181">
        <v>3279</v>
      </c>
      <c r="D181">
        <v>618</v>
      </c>
      <c r="E181">
        <v>0.19</v>
      </c>
      <c r="F181">
        <v>52</v>
      </c>
      <c r="G181">
        <v>0.1</v>
      </c>
      <c r="H181">
        <v>118</v>
      </c>
      <c r="I181">
        <v>0.19</v>
      </c>
      <c r="J181">
        <v>93</v>
      </c>
      <c r="K181">
        <v>1855.08</v>
      </c>
      <c r="L181">
        <v>-25.215</v>
      </c>
      <c r="M181" t="str">
        <f t="shared" si="5"/>
        <v>Exact Mob</v>
      </c>
    </row>
    <row r="182" spans="1:13" x14ac:dyDescent="0.35">
      <c r="A182" t="s">
        <v>44</v>
      </c>
      <c r="B182" t="s">
        <v>54</v>
      </c>
      <c r="C182">
        <v>127</v>
      </c>
      <c r="D182">
        <v>32</v>
      </c>
      <c r="E182">
        <v>0.25</v>
      </c>
      <c r="F182">
        <v>2</v>
      </c>
      <c r="G182">
        <v>0.04</v>
      </c>
      <c r="H182">
        <v>18</v>
      </c>
      <c r="I182">
        <v>0.59</v>
      </c>
      <c r="J182">
        <v>7</v>
      </c>
      <c r="K182">
        <v>139.88999999999999</v>
      </c>
      <c r="L182">
        <v>-11.005000000000001</v>
      </c>
      <c r="M182" t="str">
        <f t="shared" si="5"/>
        <v>Phrase Mob</v>
      </c>
    </row>
    <row r="183" spans="1:13" x14ac:dyDescent="0.35">
      <c r="A183" t="s">
        <v>40</v>
      </c>
      <c r="B183" t="s">
        <v>54</v>
      </c>
      <c r="C183">
        <v>85</v>
      </c>
      <c r="D183">
        <v>9</v>
      </c>
      <c r="E183">
        <v>0.11</v>
      </c>
      <c r="F183">
        <v>0</v>
      </c>
      <c r="G183">
        <v>0</v>
      </c>
      <c r="H183">
        <v>2</v>
      </c>
      <c r="I183">
        <v>0.32</v>
      </c>
      <c r="J183">
        <v>0</v>
      </c>
      <c r="K183">
        <v>0</v>
      </c>
      <c r="L183">
        <v>-2</v>
      </c>
      <c r="M183" t="str">
        <f t="shared" si="5"/>
        <v>Phrase Desk</v>
      </c>
    </row>
    <row r="184" spans="1:13" x14ac:dyDescent="0.35">
      <c r="A184" t="s">
        <v>47</v>
      </c>
      <c r="B184" t="s">
        <v>54</v>
      </c>
      <c r="C184">
        <v>209</v>
      </c>
      <c r="D184">
        <v>31</v>
      </c>
      <c r="E184">
        <v>0.15</v>
      </c>
      <c r="F184">
        <v>2</v>
      </c>
      <c r="G184">
        <v>0.05</v>
      </c>
      <c r="H184">
        <v>7</v>
      </c>
      <c r="I184">
        <v>0.23</v>
      </c>
      <c r="J184">
        <v>7</v>
      </c>
      <c r="K184">
        <v>147.75</v>
      </c>
      <c r="L184">
        <v>0.38900000000000001</v>
      </c>
      <c r="M184" t="str">
        <f t="shared" si="5"/>
        <v>Phrase Mob</v>
      </c>
    </row>
    <row r="185" spans="1:13" x14ac:dyDescent="0.35">
      <c r="A185" t="s">
        <v>22</v>
      </c>
      <c r="B185" t="s">
        <v>54</v>
      </c>
      <c r="C185">
        <v>5828</v>
      </c>
      <c r="D185">
        <v>1975</v>
      </c>
      <c r="E185">
        <v>0.34</v>
      </c>
      <c r="F185">
        <v>214</v>
      </c>
      <c r="G185">
        <v>0.09</v>
      </c>
      <c r="H185">
        <v>1118</v>
      </c>
      <c r="I185">
        <v>0.56999999999999995</v>
      </c>
      <c r="J185">
        <v>1121</v>
      </c>
      <c r="K185">
        <v>22936.400000000001</v>
      </c>
      <c r="L185">
        <v>3.1040000000000001</v>
      </c>
      <c r="M185" t="str">
        <f t="shared" si="5"/>
        <v>1:1 Mob</v>
      </c>
    </row>
    <row r="186" spans="1:13" x14ac:dyDescent="0.35">
      <c r="A186" t="s">
        <v>34</v>
      </c>
      <c r="B186" t="s">
        <v>54</v>
      </c>
      <c r="C186">
        <v>6838</v>
      </c>
      <c r="D186">
        <v>1235</v>
      </c>
      <c r="E186">
        <v>0.18</v>
      </c>
      <c r="F186">
        <v>85</v>
      </c>
      <c r="G186">
        <v>7.0000000000000007E-2</v>
      </c>
      <c r="H186">
        <v>641</v>
      </c>
      <c r="I186">
        <v>0.52</v>
      </c>
      <c r="J186">
        <v>676</v>
      </c>
      <c r="K186">
        <v>14020.86</v>
      </c>
      <c r="L186">
        <v>34.512</v>
      </c>
      <c r="M186" t="str">
        <f t="shared" si="5"/>
        <v>Exact Mob</v>
      </c>
    </row>
    <row r="187" spans="1:13" x14ac:dyDescent="0.35">
      <c r="A187" t="s">
        <v>55</v>
      </c>
      <c r="B187" t="s">
        <v>54</v>
      </c>
      <c r="C187">
        <v>257</v>
      </c>
      <c r="D187">
        <v>24</v>
      </c>
      <c r="E187">
        <v>0.09</v>
      </c>
      <c r="F187">
        <v>7</v>
      </c>
      <c r="G187">
        <v>0.28000000000000003</v>
      </c>
      <c r="H187">
        <v>3</v>
      </c>
      <c r="I187">
        <v>0.14000000000000001</v>
      </c>
      <c r="J187">
        <v>45</v>
      </c>
      <c r="K187">
        <v>898.8</v>
      </c>
      <c r="L187">
        <v>41.945999999999998</v>
      </c>
      <c r="M187" t="str">
        <f t="shared" si="5"/>
        <v>Exact Desk</v>
      </c>
    </row>
    <row r="188" spans="1:13" x14ac:dyDescent="0.35">
      <c r="A188" t="s">
        <v>15</v>
      </c>
      <c r="B188" t="s">
        <v>54</v>
      </c>
      <c r="C188">
        <v>7254</v>
      </c>
      <c r="D188">
        <v>2725</v>
      </c>
      <c r="E188">
        <v>0.38</v>
      </c>
      <c r="F188">
        <v>512</v>
      </c>
      <c r="G188">
        <v>0.11</v>
      </c>
      <c r="H188">
        <v>3182</v>
      </c>
      <c r="I188">
        <v>1.17</v>
      </c>
      <c r="J188">
        <v>3227</v>
      </c>
      <c r="K188">
        <v>66672.289999999994</v>
      </c>
      <c r="L188">
        <v>45.468000000000004</v>
      </c>
      <c r="M188" t="str">
        <f t="shared" si="5"/>
        <v>1:1 Desk</v>
      </c>
    </row>
    <row r="189" spans="1:13" x14ac:dyDescent="0.35">
      <c r="A189" t="s">
        <v>24</v>
      </c>
      <c r="B189" t="s">
        <v>54</v>
      </c>
      <c r="C189">
        <v>18526</v>
      </c>
      <c r="D189">
        <v>5553</v>
      </c>
      <c r="E189">
        <v>0.3</v>
      </c>
      <c r="F189">
        <v>919</v>
      </c>
      <c r="G189">
        <v>0.1</v>
      </c>
      <c r="H189">
        <v>5982</v>
      </c>
      <c r="I189">
        <v>1.08</v>
      </c>
      <c r="J189">
        <v>6047</v>
      </c>
      <c r="K189">
        <v>129556.9</v>
      </c>
      <c r="L189">
        <v>64.552000000000007</v>
      </c>
      <c r="M189" t="str">
        <f t="shared" si="5"/>
        <v>Exact Desk</v>
      </c>
    </row>
    <row r="190" spans="1:13" x14ac:dyDescent="0.35">
      <c r="A190" t="s">
        <v>56</v>
      </c>
      <c r="B190" t="s">
        <v>54</v>
      </c>
      <c r="C190">
        <v>3662</v>
      </c>
      <c r="D190">
        <v>266</v>
      </c>
      <c r="E190">
        <v>7.0000000000000007E-2</v>
      </c>
      <c r="F190">
        <v>24</v>
      </c>
      <c r="G190">
        <v>0.09</v>
      </c>
      <c r="H190">
        <v>44</v>
      </c>
      <c r="I190">
        <v>0.17</v>
      </c>
      <c r="J190">
        <v>160</v>
      </c>
      <c r="K190">
        <v>3268.63</v>
      </c>
      <c r="L190">
        <v>115.96299999999999</v>
      </c>
      <c r="M190" t="str">
        <f t="shared" si="5"/>
        <v>Exact Mob</v>
      </c>
    </row>
    <row r="191" spans="1:13" x14ac:dyDescent="0.35">
      <c r="A191" t="s">
        <v>28</v>
      </c>
      <c r="B191" t="s">
        <v>54</v>
      </c>
      <c r="C191">
        <v>25592</v>
      </c>
      <c r="D191">
        <v>7726</v>
      </c>
      <c r="E191">
        <v>0.3</v>
      </c>
      <c r="F191">
        <v>1731</v>
      </c>
      <c r="G191">
        <v>0.14000000000000001</v>
      </c>
      <c r="H191">
        <v>10914</v>
      </c>
      <c r="I191">
        <v>1.41</v>
      </c>
      <c r="J191">
        <v>11223</v>
      </c>
      <c r="K191">
        <v>236665.59</v>
      </c>
      <c r="L191">
        <v>308.97500000000002</v>
      </c>
      <c r="M191" t="str">
        <f t="shared" si="5"/>
        <v>Exact Desk</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new dashboard</vt:lpstr>
      <vt:lpstr>kpis</vt:lpstr>
      <vt:lpstr>sale trend</vt:lpstr>
      <vt:lpstr>p&amp;l of adgroup</vt:lpstr>
      <vt:lpstr>sale by adgroup</vt:lpstr>
      <vt:lpstr>Sheet5</vt:lpstr>
      <vt:lpstr>final_shop_6modata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2025-08-14T13:17:28Z</dcterms:created>
  <dcterms:modified xsi:type="dcterms:W3CDTF">2026-02-15T10:55:33Z</dcterms:modified>
</cp:coreProperties>
</file>